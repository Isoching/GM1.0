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YUANJING\Desktop\GM_SI_FILES\model_file\DATASET\"/>
    </mc:Choice>
  </mc:AlternateContent>
  <xr:revisionPtr revIDLastSave="0" documentId="13_ncr:1_{9BD3BD8C-33F6-4C63-AD1D-9D5CCBC31A86}" xr6:coauthVersionLast="47" xr6:coauthVersionMax="47" xr10:uidLastSave="{00000000-0000-0000-0000-000000000000}"/>
  <bookViews>
    <workbookView xWindow="-110" yWindow="-110" windowWidth="29020" windowHeight="17500" activeTab="4" xr2:uid="{00000000-000D-0000-FFFF-FFFF00000000}"/>
  </bookViews>
  <sheets>
    <sheet name="ORIGIN_monica" sheetId="1" r:id="rId1"/>
    <sheet name="HTO" sheetId="8" r:id="rId2"/>
    <sheet name="plotV" sheetId="4" r:id="rId3"/>
    <sheet name="plotFE" sheetId="5" r:id="rId4"/>
    <sheet name="trainPTJFE" sheetId="3" r:id="rId5"/>
    <sheet name="trainPTJV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8" l="1"/>
  <c r="S4" i="8"/>
  <c r="S5" i="8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S35" i="8"/>
  <c r="S36" i="8"/>
  <c r="S37" i="8"/>
  <c r="S38" i="8"/>
  <c r="S39" i="8"/>
  <c r="S40" i="8"/>
  <c r="S41" i="8"/>
  <c r="S42" i="8"/>
  <c r="S43" i="8"/>
  <c r="S44" i="8"/>
  <c r="S45" i="8"/>
  <c r="S46" i="8"/>
  <c r="S47" i="8"/>
  <c r="S48" i="8"/>
  <c r="S49" i="8"/>
  <c r="S50" i="8"/>
  <c r="S51" i="8"/>
  <c r="S52" i="8"/>
  <c r="S53" i="8"/>
  <c r="S54" i="8"/>
  <c r="S55" i="8"/>
  <c r="S2" i="8"/>
  <c r="R3" i="8"/>
  <c r="R4" i="8"/>
  <c r="R5" i="8"/>
  <c r="R6" i="8"/>
  <c r="R7" i="8"/>
  <c r="R8" i="8"/>
  <c r="R9" i="8"/>
  <c r="R10" i="8"/>
  <c r="R11" i="8"/>
  <c r="R12" i="8"/>
  <c r="R13" i="8"/>
  <c r="R14" i="8"/>
  <c r="R15" i="8"/>
  <c r="R16" i="8"/>
  <c r="R17" i="8"/>
  <c r="R18" i="8"/>
  <c r="R19" i="8"/>
  <c r="R20" i="8"/>
  <c r="R21" i="8"/>
  <c r="R22" i="8"/>
  <c r="R23" i="8"/>
  <c r="R24" i="8"/>
  <c r="R25" i="8"/>
  <c r="R26" i="8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R42" i="8"/>
  <c r="R43" i="8"/>
  <c r="R44" i="8"/>
  <c r="R45" i="8"/>
  <c r="R46" i="8"/>
  <c r="R47" i="8"/>
  <c r="R48" i="8"/>
  <c r="R49" i="8"/>
  <c r="R50" i="8"/>
  <c r="R51" i="8"/>
  <c r="R52" i="8"/>
  <c r="R53" i="8"/>
  <c r="R54" i="8"/>
  <c r="R55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35" i="8"/>
  <c r="Q36" i="8"/>
  <c r="Q37" i="8"/>
  <c r="Q38" i="8"/>
  <c r="Q39" i="8"/>
  <c r="Q40" i="8"/>
  <c r="Q41" i="8"/>
  <c r="Q42" i="8"/>
  <c r="Q43" i="8"/>
  <c r="Q44" i="8"/>
  <c r="Q45" i="8"/>
  <c r="Q46" i="8"/>
  <c r="Q47" i="8"/>
  <c r="Q48" i="8"/>
  <c r="Q49" i="8"/>
  <c r="Q50" i="8"/>
  <c r="Q51" i="8"/>
  <c r="Q52" i="8"/>
  <c r="Q53" i="8"/>
  <c r="Q54" i="8"/>
  <c r="Q55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8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Q2" i="8"/>
  <c r="R2" i="8"/>
  <c r="P2" i="8"/>
  <c r="P2" i="1"/>
  <c r="J2" i="5"/>
  <c r="K2" i="5"/>
  <c r="S24" i="1"/>
  <c r="D19" i="1"/>
  <c r="N35" i="1"/>
  <c r="H16" i="1"/>
  <c r="U2" i="1"/>
  <c r="T19" i="1"/>
  <c r="T8" i="1"/>
  <c r="T4" i="1"/>
  <c r="T2" i="1"/>
  <c r="T36" i="1" s="1"/>
  <c r="Q2" i="1"/>
  <c r="S5" i="4"/>
  <c r="U5" i="4" s="1"/>
  <c r="T5" i="4"/>
  <c r="U105" i="4"/>
  <c r="U106" i="4"/>
  <c r="U107" i="4"/>
  <c r="U108" i="4"/>
  <c r="U109" i="4"/>
  <c r="U110" i="4"/>
  <c r="U111" i="4"/>
  <c r="U112" i="4"/>
  <c r="U113" i="4"/>
  <c r="U114" i="4"/>
  <c r="U115" i="4"/>
  <c r="U116" i="4"/>
  <c r="U117" i="4"/>
  <c r="U118" i="4"/>
  <c r="U119" i="4"/>
  <c r="U120" i="4"/>
  <c r="U121" i="4"/>
  <c r="U122" i="4"/>
  <c r="U123" i="4"/>
  <c r="U124" i="4"/>
  <c r="U125" i="4"/>
  <c r="U126" i="4"/>
  <c r="U127" i="4"/>
  <c r="U128" i="4"/>
  <c r="U129" i="4"/>
  <c r="U130" i="4"/>
  <c r="U131" i="4"/>
  <c r="U132" i="4"/>
  <c r="U133" i="4"/>
  <c r="U134" i="4"/>
  <c r="U135" i="4"/>
  <c r="U136" i="4"/>
  <c r="U137" i="4"/>
  <c r="U138" i="4"/>
  <c r="U139" i="4"/>
  <c r="U140" i="4"/>
  <c r="U141" i="4"/>
  <c r="U142" i="4"/>
  <c r="U143" i="4"/>
  <c r="U144" i="4"/>
  <c r="U145" i="4"/>
  <c r="U146" i="4"/>
  <c r="U147" i="4"/>
  <c r="U148" i="4"/>
  <c r="U149" i="4"/>
  <c r="U150" i="4"/>
  <c r="U151" i="4"/>
  <c r="U152" i="4"/>
  <c r="U153" i="4"/>
  <c r="U154" i="4"/>
  <c r="U155" i="4"/>
  <c r="U156" i="4"/>
  <c r="U157" i="4"/>
  <c r="U158" i="4"/>
  <c r="U159" i="4"/>
  <c r="U160" i="4"/>
  <c r="U161" i="4"/>
  <c r="U162" i="4"/>
  <c r="U163" i="4"/>
  <c r="U164" i="4"/>
  <c r="U165" i="4"/>
  <c r="U166" i="4"/>
  <c r="U167" i="4"/>
  <c r="U168" i="4"/>
  <c r="U169" i="4"/>
  <c r="U170" i="4"/>
  <c r="U171" i="4"/>
  <c r="U172" i="4"/>
  <c r="U173" i="4"/>
  <c r="U174" i="4"/>
  <c r="U175" i="4"/>
  <c r="U176" i="4"/>
  <c r="U177" i="4"/>
  <c r="U178" i="4"/>
  <c r="U179" i="4"/>
  <c r="U180" i="4"/>
  <c r="U181" i="4"/>
  <c r="U182" i="4"/>
  <c r="U183" i="4"/>
  <c r="U184" i="4"/>
  <c r="U185" i="4"/>
  <c r="U186" i="4"/>
  <c r="U187" i="4"/>
  <c r="U188" i="4"/>
  <c r="U189" i="4"/>
  <c r="U190" i="4"/>
  <c r="U191" i="4"/>
  <c r="U192" i="4"/>
  <c r="U193" i="4"/>
  <c r="U194" i="4"/>
  <c r="U195" i="4"/>
  <c r="U196" i="4"/>
  <c r="U197" i="4"/>
  <c r="U198" i="4"/>
  <c r="U199" i="4"/>
  <c r="U200" i="4"/>
  <c r="U201" i="4"/>
  <c r="U202" i="4"/>
  <c r="U203" i="4"/>
  <c r="U204" i="4"/>
  <c r="U205" i="4"/>
  <c r="U206" i="4"/>
  <c r="U207" i="4"/>
  <c r="U208" i="4"/>
  <c r="U209" i="4"/>
  <c r="U210" i="4"/>
  <c r="U211" i="4"/>
  <c r="U212" i="4"/>
  <c r="U213" i="4"/>
  <c r="U214" i="4"/>
  <c r="U215" i="4"/>
  <c r="U216" i="4"/>
  <c r="U217" i="4"/>
  <c r="U218" i="4"/>
  <c r="U219" i="4"/>
  <c r="U220" i="4"/>
  <c r="U221" i="4"/>
  <c r="U222" i="4"/>
  <c r="U223" i="4"/>
  <c r="U224" i="4"/>
  <c r="U225" i="4"/>
  <c r="U226" i="4"/>
  <c r="U227" i="4"/>
  <c r="U228" i="4"/>
  <c r="U229" i="4"/>
  <c r="T105" i="4"/>
  <c r="T106" i="4"/>
  <c r="T107" i="4"/>
  <c r="T108" i="4"/>
  <c r="T109" i="4"/>
  <c r="T110" i="4"/>
  <c r="T111" i="4"/>
  <c r="T112" i="4"/>
  <c r="T113" i="4"/>
  <c r="T114" i="4"/>
  <c r="T115" i="4"/>
  <c r="T116" i="4"/>
  <c r="T117" i="4"/>
  <c r="T118" i="4"/>
  <c r="T119" i="4"/>
  <c r="T120" i="4"/>
  <c r="T121" i="4"/>
  <c r="T122" i="4"/>
  <c r="T123" i="4"/>
  <c r="T124" i="4"/>
  <c r="T125" i="4"/>
  <c r="T126" i="4"/>
  <c r="T127" i="4"/>
  <c r="T128" i="4"/>
  <c r="T129" i="4"/>
  <c r="T130" i="4"/>
  <c r="T131" i="4"/>
  <c r="T132" i="4"/>
  <c r="T133" i="4"/>
  <c r="T134" i="4"/>
  <c r="T135" i="4"/>
  <c r="T136" i="4"/>
  <c r="T137" i="4"/>
  <c r="T138" i="4"/>
  <c r="T139" i="4"/>
  <c r="T140" i="4"/>
  <c r="T141" i="4"/>
  <c r="T142" i="4"/>
  <c r="T143" i="4"/>
  <c r="T144" i="4"/>
  <c r="T145" i="4"/>
  <c r="T146" i="4"/>
  <c r="T147" i="4"/>
  <c r="T148" i="4"/>
  <c r="T149" i="4"/>
  <c r="T150" i="4"/>
  <c r="T151" i="4"/>
  <c r="T152" i="4"/>
  <c r="T153" i="4"/>
  <c r="T154" i="4"/>
  <c r="T155" i="4"/>
  <c r="T156" i="4"/>
  <c r="T157" i="4"/>
  <c r="T158" i="4"/>
  <c r="T159" i="4"/>
  <c r="T160" i="4"/>
  <c r="T161" i="4"/>
  <c r="T162" i="4"/>
  <c r="T163" i="4"/>
  <c r="T164" i="4"/>
  <c r="T165" i="4"/>
  <c r="T166" i="4"/>
  <c r="T167" i="4"/>
  <c r="T168" i="4"/>
  <c r="T169" i="4"/>
  <c r="T170" i="4"/>
  <c r="T171" i="4"/>
  <c r="T172" i="4"/>
  <c r="T173" i="4"/>
  <c r="T174" i="4"/>
  <c r="T175" i="4"/>
  <c r="T176" i="4"/>
  <c r="T177" i="4"/>
  <c r="T178" i="4"/>
  <c r="T179" i="4"/>
  <c r="T180" i="4"/>
  <c r="T181" i="4"/>
  <c r="T182" i="4"/>
  <c r="T183" i="4"/>
  <c r="T184" i="4"/>
  <c r="T185" i="4"/>
  <c r="T186" i="4"/>
  <c r="T187" i="4"/>
  <c r="T188" i="4"/>
  <c r="T189" i="4"/>
  <c r="T190" i="4"/>
  <c r="T191" i="4"/>
  <c r="T192" i="4"/>
  <c r="T193" i="4"/>
  <c r="T194" i="4"/>
  <c r="T195" i="4"/>
  <c r="T196" i="4"/>
  <c r="T197" i="4"/>
  <c r="T198" i="4"/>
  <c r="T199" i="4"/>
  <c r="T200" i="4"/>
  <c r="T201" i="4"/>
  <c r="T202" i="4"/>
  <c r="T203" i="4"/>
  <c r="T204" i="4"/>
  <c r="T205" i="4"/>
  <c r="T206" i="4"/>
  <c r="T207" i="4"/>
  <c r="T208" i="4"/>
  <c r="T209" i="4"/>
  <c r="T210" i="4"/>
  <c r="T211" i="4"/>
  <c r="T212" i="4"/>
  <c r="T213" i="4"/>
  <c r="T214" i="4"/>
  <c r="T215" i="4"/>
  <c r="T216" i="4"/>
  <c r="T217" i="4"/>
  <c r="T218" i="4"/>
  <c r="T219" i="4"/>
  <c r="T220" i="4"/>
  <c r="T221" i="4"/>
  <c r="T222" i="4"/>
  <c r="T223" i="4"/>
  <c r="T224" i="4"/>
  <c r="T225" i="4"/>
  <c r="T226" i="4"/>
  <c r="T227" i="4"/>
  <c r="T228" i="4"/>
  <c r="T229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R113" i="4"/>
  <c r="R114" i="4" s="1"/>
  <c r="R115" i="4" s="1"/>
  <c r="R116" i="4" s="1"/>
  <c r="R117" i="4" s="1"/>
  <c r="R118" i="4" s="1"/>
  <c r="R119" i="4" s="1"/>
  <c r="R120" i="4" s="1"/>
  <c r="R121" i="4" s="1"/>
  <c r="R122" i="4" s="1"/>
  <c r="R123" i="4" s="1"/>
  <c r="R124" i="4" s="1"/>
  <c r="R125" i="4" s="1"/>
  <c r="R126" i="4" s="1"/>
  <c r="R127" i="4" s="1"/>
  <c r="R128" i="4" s="1"/>
  <c r="R129" i="4" s="1"/>
  <c r="R130" i="4" s="1"/>
  <c r="R131" i="4" s="1"/>
  <c r="R132" i="4" s="1"/>
  <c r="R133" i="4" s="1"/>
  <c r="R134" i="4" s="1"/>
  <c r="R135" i="4" s="1"/>
  <c r="R136" i="4" s="1"/>
  <c r="R137" i="4" s="1"/>
  <c r="R138" i="4" s="1"/>
  <c r="R139" i="4" s="1"/>
  <c r="R140" i="4" s="1"/>
  <c r="R141" i="4" s="1"/>
  <c r="R142" i="4" s="1"/>
  <c r="R143" i="4" s="1"/>
  <c r="R144" i="4" s="1"/>
  <c r="R145" i="4" s="1"/>
  <c r="R146" i="4" s="1"/>
  <c r="R147" i="4" s="1"/>
  <c r="R148" i="4" s="1"/>
  <c r="R149" i="4" s="1"/>
  <c r="R150" i="4" s="1"/>
  <c r="R151" i="4" s="1"/>
  <c r="R152" i="4" s="1"/>
  <c r="R153" i="4" s="1"/>
  <c r="R154" i="4" s="1"/>
  <c r="R155" i="4" s="1"/>
  <c r="R156" i="4" s="1"/>
  <c r="R157" i="4" s="1"/>
  <c r="R158" i="4" s="1"/>
  <c r="R159" i="4" s="1"/>
  <c r="R160" i="4" s="1"/>
  <c r="R161" i="4" s="1"/>
  <c r="R162" i="4" s="1"/>
  <c r="R163" i="4" s="1"/>
  <c r="R164" i="4" s="1"/>
  <c r="R165" i="4" s="1"/>
  <c r="R166" i="4" s="1"/>
  <c r="R167" i="4" s="1"/>
  <c r="R168" i="4" s="1"/>
  <c r="R169" i="4" s="1"/>
  <c r="R170" i="4" s="1"/>
  <c r="R171" i="4" s="1"/>
  <c r="R172" i="4" s="1"/>
  <c r="R173" i="4" s="1"/>
  <c r="R174" i="4" s="1"/>
  <c r="R175" i="4" s="1"/>
  <c r="R176" i="4" s="1"/>
  <c r="R177" i="4" s="1"/>
  <c r="R178" i="4" s="1"/>
  <c r="R179" i="4" s="1"/>
  <c r="R180" i="4" s="1"/>
  <c r="R181" i="4" s="1"/>
  <c r="R182" i="4" s="1"/>
  <c r="R183" i="4" s="1"/>
  <c r="R184" i="4" s="1"/>
  <c r="R185" i="4" s="1"/>
  <c r="R186" i="4" s="1"/>
  <c r="R187" i="4" s="1"/>
  <c r="R188" i="4" s="1"/>
  <c r="R189" i="4" s="1"/>
  <c r="R190" i="4" s="1"/>
  <c r="R191" i="4" s="1"/>
  <c r="R192" i="4" s="1"/>
  <c r="R193" i="4" s="1"/>
  <c r="R194" i="4" s="1"/>
  <c r="R195" i="4" s="1"/>
  <c r="R196" i="4" s="1"/>
  <c r="R197" i="4" s="1"/>
  <c r="R198" i="4" s="1"/>
  <c r="R199" i="4" s="1"/>
  <c r="R200" i="4" s="1"/>
  <c r="R201" i="4" s="1"/>
  <c r="R202" i="4" s="1"/>
  <c r="R203" i="4" s="1"/>
  <c r="R204" i="4" s="1"/>
  <c r="R205" i="4" s="1"/>
  <c r="R206" i="4" s="1"/>
  <c r="R207" i="4" s="1"/>
  <c r="R208" i="4" s="1"/>
  <c r="R209" i="4" s="1"/>
  <c r="R210" i="4" s="1"/>
  <c r="R211" i="4" s="1"/>
  <c r="R212" i="4" s="1"/>
  <c r="R213" i="4" s="1"/>
  <c r="R214" i="4" s="1"/>
  <c r="R215" i="4" s="1"/>
  <c r="R216" i="4" s="1"/>
  <c r="R217" i="4" s="1"/>
  <c r="R218" i="4" s="1"/>
  <c r="R219" i="4" s="1"/>
  <c r="R220" i="4" s="1"/>
  <c r="R221" i="4" s="1"/>
  <c r="R222" i="4" s="1"/>
  <c r="R223" i="4" s="1"/>
  <c r="R224" i="4" s="1"/>
  <c r="R225" i="4" s="1"/>
  <c r="R226" i="4" s="1"/>
  <c r="R227" i="4" s="1"/>
  <c r="R228" i="4" s="1"/>
  <c r="R229" i="4" s="1"/>
  <c r="R105" i="4"/>
  <c r="R106" i="4"/>
  <c r="R107" i="4"/>
  <c r="R108" i="4"/>
  <c r="R109" i="4"/>
  <c r="R110" i="4"/>
  <c r="R111" i="4" s="1"/>
  <c r="R112" i="4" s="1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H2" i="1"/>
  <c r="G16" i="1"/>
  <c r="I2" i="5"/>
  <c r="I3" i="5"/>
  <c r="K3" i="5" s="1"/>
  <c r="H3" i="5"/>
  <c r="H4" i="5" s="1"/>
  <c r="G2" i="1"/>
  <c r="R5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32" i="4"/>
  <c r="Q33" i="4"/>
  <c r="Q34" i="4"/>
  <c r="Q35" i="4"/>
  <c r="Q36" i="4"/>
  <c r="Q37" i="4"/>
  <c r="Q38" i="4"/>
  <c r="Q39" i="4"/>
  <c r="Q40" i="4"/>
  <c r="Q41" i="4"/>
  <c r="Q42" i="4"/>
  <c r="T29" i="1"/>
  <c r="T33" i="1"/>
  <c r="R36" i="1"/>
  <c r="R35" i="1"/>
  <c r="N36" i="1"/>
  <c r="O36" i="1"/>
  <c r="Q36" i="1"/>
  <c r="L36" i="1"/>
  <c r="U10" i="1"/>
  <c r="U11" i="1"/>
  <c r="U12" i="1"/>
  <c r="U13" i="1"/>
  <c r="U14" i="1"/>
  <c r="U15" i="1"/>
  <c r="U16" i="1"/>
  <c r="U17" i="1"/>
  <c r="U18" i="1"/>
  <c r="U26" i="1"/>
  <c r="U27" i="1"/>
  <c r="U28" i="1"/>
  <c r="U29" i="1"/>
  <c r="U30" i="1"/>
  <c r="U31" i="1"/>
  <c r="U33" i="1"/>
  <c r="U3" i="1"/>
  <c r="T3" i="1"/>
  <c r="T5" i="1"/>
  <c r="T6" i="1"/>
  <c r="T7" i="1"/>
  <c r="T9" i="1"/>
  <c r="T10" i="1"/>
  <c r="T11" i="1"/>
  <c r="T12" i="1"/>
  <c r="T13" i="1"/>
  <c r="T14" i="1"/>
  <c r="T15" i="1"/>
  <c r="T16" i="1"/>
  <c r="T17" i="1"/>
  <c r="T18" i="1"/>
  <c r="T20" i="1"/>
  <c r="T21" i="1"/>
  <c r="T22" i="1"/>
  <c r="T23" i="1"/>
  <c r="T24" i="1"/>
  <c r="T25" i="1"/>
  <c r="T26" i="1"/>
  <c r="T27" i="1"/>
  <c r="T28" i="1"/>
  <c r="T30" i="1"/>
  <c r="T31" i="1"/>
  <c r="T32" i="1"/>
  <c r="S3" i="1"/>
  <c r="S4" i="1"/>
  <c r="S35" i="1" s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5" i="1"/>
  <c r="S26" i="1"/>
  <c r="S27" i="1"/>
  <c r="S28" i="1"/>
  <c r="S29" i="1"/>
  <c r="S30" i="1"/>
  <c r="S31" i="1"/>
  <c r="S32" i="1"/>
  <c r="S33" i="1"/>
  <c r="S2" i="1"/>
  <c r="S36" i="1" s="1"/>
  <c r="O35" i="1"/>
  <c r="L35" i="1"/>
  <c r="P3" i="1"/>
  <c r="P4" i="1"/>
  <c r="U4" i="1" s="1"/>
  <c r="P5" i="1"/>
  <c r="U5" i="1" s="1"/>
  <c r="P6" i="1"/>
  <c r="U6" i="1" s="1"/>
  <c r="P7" i="1"/>
  <c r="P36" i="1" s="1"/>
  <c r="P8" i="1"/>
  <c r="U8" i="1" s="1"/>
  <c r="P9" i="1"/>
  <c r="U9" i="1" s="1"/>
  <c r="P10" i="1"/>
  <c r="P11" i="1"/>
  <c r="P12" i="1"/>
  <c r="P13" i="1"/>
  <c r="P14" i="1"/>
  <c r="P15" i="1"/>
  <c r="P16" i="1"/>
  <c r="P17" i="1"/>
  <c r="P18" i="1"/>
  <c r="P19" i="1"/>
  <c r="U19" i="1" s="1"/>
  <c r="P20" i="1"/>
  <c r="U20" i="1" s="1"/>
  <c r="P21" i="1"/>
  <c r="U21" i="1" s="1"/>
  <c r="P22" i="1"/>
  <c r="U22" i="1" s="1"/>
  <c r="P23" i="1"/>
  <c r="U23" i="1" s="1"/>
  <c r="P24" i="1"/>
  <c r="U24" i="1" s="1"/>
  <c r="P25" i="1"/>
  <c r="U25" i="1" s="1"/>
  <c r="P26" i="1"/>
  <c r="P27" i="1"/>
  <c r="P28" i="1"/>
  <c r="P29" i="1"/>
  <c r="P30" i="1"/>
  <c r="P31" i="1"/>
  <c r="P32" i="1"/>
  <c r="U32" i="1" s="1"/>
  <c r="P33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F17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7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7" i="1"/>
  <c r="C19" i="1"/>
  <c r="U7" i="1" l="1"/>
  <c r="U36" i="1" s="1"/>
  <c r="T35" i="1"/>
  <c r="R6" i="4"/>
  <c r="H5" i="5"/>
  <c r="I4" i="5"/>
  <c r="K4" i="5" s="1"/>
  <c r="S6" i="4"/>
  <c r="U6" i="4" s="1"/>
  <c r="P35" i="1"/>
  <c r="Q35" i="1"/>
  <c r="U35" i="1" l="1"/>
  <c r="T6" i="4"/>
  <c r="R7" i="4"/>
  <c r="I5" i="5"/>
  <c r="K5" i="5" s="1"/>
  <c r="H6" i="5"/>
  <c r="S7" i="4" l="1"/>
  <c r="U7" i="4" s="1"/>
  <c r="T7" i="4"/>
  <c r="R8" i="4"/>
  <c r="I6" i="5"/>
  <c r="K6" i="5" s="1"/>
  <c r="H7" i="5"/>
  <c r="R9" i="4" l="1"/>
  <c r="S8" i="4"/>
  <c r="U8" i="4" s="1"/>
  <c r="T8" i="4"/>
  <c r="I7" i="5"/>
  <c r="K7" i="5" s="1"/>
  <c r="H8" i="5"/>
  <c r="R10" i="4" l="1"/>
  <c r="T9" i="4"/>
  <c r="S9" i="4"/>
  <c r="U9" i="4" s="1"/>
  <c r="I8" i="5"/>
  <c r="K8" i="5" s="1"/>
  <c r="H9" i="5"/>
  <c r="S10" i="4" l="1"/>
  <c r="U10" i="4" s="1"/>
  <c r="R11" i="4"/>
  <c r="T10" i="4"/>
  <c r="I9" i="5"/>
  <c r="K9" i="5" s="1"/>
  <c r="H10" i="5"/>
  <c r="R12" i="4" l="1"/>
  <c r="T11" i="4"/>
  <c r="S11" i="4"/>
  <c r="U11" i="4" s="1"/>
  <c r="H11" i="5"/>
  <c r="I10" i="5"/>
  <c r="K10" i="5" s="1"/>
  <c r="R13" i="4" l="1"/>
  <c r="T12" i="4"/>
  <c r="S12" i="4"/>
  <c r="U12" i="4" s="1"/>
  <c r="H12" i="5"/>
  <c r="I11" i="5"/>
  <c r="K11" i="5" s="1"/>
  <c r="S13" i="4" l="1"/>
  <c r="U13" i="4" s="1"/>
  <c r="R14" i="4"/>
  <c r="T13" i="4"/>
  <c r="I12" i="5"/>
  <c r="K12" i="5" s="1"/>
  <c r="H13" i="5"/>
  <c r="S14" i="4" l="1"/>
  <c r="U14" i="4" s="1"/>
  <c r="T14" i="4"/>
  <c r="R15" i="4"/>
  <c r="H14" i="5"/>
  <c r="I13" i="5"/>
  <c r="K13" i="5" s="1"/>
  <c r="T15" i="4" l="1"/>
  <c r="R16" i="4"/>
  <c r="S15" i="4"/>
  <c r="U15" i="4" s="1"/>
  <c r="H15" i="5"/>
  <c r="I14" i="5"/>
  <c r="K14" i="5" s="1"/>
  <c r="R17" i="4" l="1"/>
  <c r="T16" i="4"/>
  <c r="S16" i="4"/>
  <c r="U16" i="4" s="1"/>
  <c r="H16" i="5"/>
  <c r="I15" i="5"/>
  <c r="K15" i="5" s="1"/>
  <c r="R18" i="4" l="1"/>
  <c r="T17" i="4"/>
  <c r="S17" i="4"/>
  <c r="U17" i="4" s="1"/>
  <c r="H17" i="5"/>
  <c r="I16" i="5"/>
  <c r="K16" i="5" s="1"/>
  <c r="T18" i="4" l="1"/>
  <c r="R19" i="4"/>
  <c r="S18" i="4"/>
  <c r="U18" i="4" s="1"/>
  <c r="I17" i="5"/>
  <c r="K17" i="5" s="1"/>
  <c r="H18" i="5"/>
  <c r="T19" i="4" l="1"/>
  <c r="R20" i="4"/>
  <c r="S19" i="4"/>
  <c r="U19" i="4" s="1"/>
  <c r="H19" i="5"/>
  <c r="I18" i="5"/>
  <c r="K18" i="5" s="1"/>
  <c r="R21" i="4" l="1"/>
  <c r="S20" i="4"/>
  <c r="U20" i="4" s="1"/>
  <c r="T20" i="4"/>
  <c r="H20" i="5"/>
  <c r="I19" i="5"/>
  <c r="K19" i="5" s="1"/>
  <c r="S21" i="4" l="1"/>
  <c r="U21" i="4" s="1"/>
  <c r="T21" i="4"/>
  <c r="R22" i="4"/>
  <c r="H21" i="5"/>
  <c r="I20" i="5"/>
  <c r="K20" i="5" s="1"/>
  <c r="S22" i="4" l="1"/>
  <c r="U22" i="4" s="1"/>
  <c r="R23" i="4"/>
  <c r="T22" i="4"/>
  <c r="H22" i="5"/>
  <c r="I21" i="5"/>
  <c r="K21" i="5" s="1"/>
  <c r="T23" i="4" l="1"/>
  <c r="R24" i="4"/>
  <c r="S23" i="4"/>
  <c r="U23" i="4" s="1"/>
  <c r="H23" i="5"/>
  <c r="I22" i="5"/>
  <c r="K22" i="5" s="1"/>
  <c r="R25" i="4" l="1"/>
  <c r="T24" i="4"/>
  <c r="S24" i="4"/>
  <c r="U24" i="4" s="1"/>
  <c r="H24" i="5"/>
  <c r="I23" i="5"/>
  <c r="K23" i="5" s="1"/>
  <c r="S25" i="4" l="1"/>
  <c r="U25" i="4" s="1"/>
  <c r="T25" i="4"/>
  <c r="R26" i="4"/>
  <c r="H25" i="5"/>
  <c r="I24" i="5"/>
  <c r="K24" i="5" s="1"/>
  <c r="S26" i="4" l="1"/>
  <c r="U26" i="4" s="1"/>
  <c r="R27" i="4"/>
  <c r="T26" i="4"/>
  <c r="H26" i="5"/>
  <c r="I25" i="5"/>
  <c r="K25" i="5" s="1"/>
  <c r="S27" i="4" l="1"/>
  <c r="U27" i="4" s="1"/>
  <c r="T27" i="4"/>
  <c r="R28" i="4"/>
  <c r="H27" i="5"/>
  <c r="I26" i="5"/>
  <c r="K26" i="5" s="1"/>
  <c r="T28" i="4" l="1"/>
  <c r="R29" i="4"/>
  <c r="S28" i="4"/>
  <c r="U28" i="4" s="1"/>
  <c r="H28" i="5"/>
  <c r="I27" i="5"/>
  <c r="K27" i="5" s="1"/>
  <c r="T29" i="4" l="1"/>
  <c r="S29" i="4"/>
  <c r="U29" i="4" s="1"/>
  <c r="R30" i="4"/>
  <c r="H29" i="5"/>
  <c r="I28" i="5"/>
  <c r="K28" i="5" s="1"/>
  <c r="T30" i="4" l="1"/>
  <c r="S30" i="4"/>
  <c r="U30" i="4" s="1"/>
  <c r="R31" i="4"/>
  <c r="H30" i="5"/>
  <c r="I29" i="5"/>
  <c r="K29" i="5" s="1"/>
  <c r="S31" i="4" l="1"/>
  <c r="U31" i="4" s="1"/>
  <c r="T31" i="4"/>
  <c r="R32" i="4"/>
  <c r="H31" i="5"/>
  <c r="I30" i="5"/>
  <c r="K30" i="5" s="1"/>
  <c r="T32" i="4" l="1"/>
  <c r="S32" i="4"/>
  <c r="U32" i="4" s="1"/>
  <c r="R33" i="4"/>
  <c r="H32" i="5"/>
  <c r="I31" i="5"/>
  <c r="K31" i="5" s="1"/>
  <c r="S33" i="4" l="1"/>
  <c r="U33" i="4" s="1"/>
  <c r="T33" i="4"/>
  <c r="R34" i="4"/>
  <c r="I32" i="5"/>
  <c r="K32" i="5" s="1"/>
  <c r="H33" i="5"/>
  <c r="T34" i="4" l="1"/>
  <c r="S34" i="4"/>
  <c r="U34" i="4" s="1"/>
  <c r="R35" i="4"/>
  <c r="H34" i="5"/>
  <c r="I33" i="5"/>
  <c r="K33" i="5" s="1"/>
  <c r="T35" i="4" l="1"/>
  <c r="R36" i="4"/>
  <c r="S35" i="4"/>
  <c r="U35" i="4" s="1"/>
  <c r="H35" i="5"/>
  <c r="I34" i="5"/>
  <c r="K34" i="5" s="1"/>
  <c r="R37" i="4" l="1"/>
  <c r="T36" i="4"/>
  <c r="S36" i="4"/>
  <c r="U36" i="4" s="1"/>
  <c r="H36" i="5"/>
  <c r="I35" i="5"/>
  <c r="K35" i="5" s="1"/>
  <c r="S37" i="4" l="1"/>
  <c r="U37" i="4" s="1"/>
  <c r="R38" i="4"/>
  <c r="T37" i="4"/>
  <c r="H37" i="5"/>
  <c r="I36" i="5"/>
  <c r="K36" i="5" s="1"/>
  <c r="T38" i="4" l="1"/>
  <c r="R39" i="4"/>
  <c r="S38" i="4"/>
  <c r="U38" i="4" s="1"/>
  <c r="H38" i="5"/>
  <c r="I37" i="5"/>
  <c r="K37" i="5" s="1"/>
  <c r="R40" i="4" l="1"/>
  <c r="S39" i="4"/>
  <c r="U39" i="4" s="1"/>
  <c r="T39" i="4"/>
  <c r="H39" i="5"/>
  <c r="I38" i="5"/>
  <c r="K38" i="5" s="1"/>
  <c r="R41" i="4" l="1"/>
  <c r="T40" i="4"/>
  <c r="S40" i="4"/>
  <c r="U40" i="4" s="1"/>
  <c r="H40" i="5"/>
  <c r="I39" i="5"/>
  <c r="K39" i="5" s="1"/>
  <c r="R42" i="4" l="1"/>
  <c r="T41" i="4"/>
  <c r="S41" i="4"/>
  <c r="U41" i="4" s="1"/>
  <c r="H41" i="5"/>
  <c r="I40" i="5"/>
  <c r="K40" i="5" s="1"/>
  <c r="R43" i="4" l="1"/>
  <c r="S42" i="4"/>
  <c r="U42" i="4" s="1"/>
  <c r="T42" i="4"/>
  <c r="H42" i="5"/>
  <c r="I41" i="5"/>
  <c r="K41" i="5" s="1"/>
  <c r="S43" i="4" l="1"/>
  <c r="U43" i="4" s="1"/>
  <c r="R44" i="4"/>
  <c r="T43" i="4"/>
  <c r="H43" i="5"/>
  <c r="I42" i="5"/>
  <c r="K42" i="5" s="1"/>
  <c r="R45" i="4" l="1"/>
  <c r="T44" i="4"/>
  <c r="S44" i="4"/>
  <c r="U44" i="4" s="1"/>
  <c r="H44" i="5"/>
  <c r="I43" i="5"/>
  <c r="K43" i="5" s="1"/>
  <c r="R46" i="4" l="1"/>
  <c r="S45" i="4"/>
  <c r="U45" i="4" s="1"/>
  <c r="T45" i="4"/>
  <c r="H45" i="5"/>
  <c r="I44" i="5"/>
  <c r="K44" i="5" s="1"/>
  <c r="R47" i="4" l="1"/>
  <c r="T46" i="4"/>
  <c r="S46" i="4"/>
  <c r="U46" i="4" s="1"/>
  <c r="H46" i="5"/>
  <c r="I45" i="5"/>
  <c r="K45" i="5" s="1"/>
  <c r="T47" i="4" l="1"/>
  <c r="R48" i="4"/>
  <c r="S47" i="4"/>
  <c r="U47" i="4" s="1"/>
  <c r="H47" i="5"/>
  <c r="I46" i="5"/>
  <c r="K46" i="5" s="1"/>
  <c r="R49" i="4" l="1"/>
  <c r="S48" i="4"/>
  <c r="U48" i="4" s="1"/>
  <c r="T48" i="4"/>
  <c r="H48" i="5"/>
  <c r="I47" i="5"/>
  <c r="K47" i="5" s="1"/>
  <c r="R50" i="4" l="1"/>
  <c r="T49" i="4"/>
  <c r="S49" i="4"/>
  <c r="U49" i="4" s="1"/>
  <c r="H49" i="5"/>
  <c r="I48" i="5"/>
  <c r="K48" i="5" s="1"/>
  <c r="R51" i="4" l="1"/>
  <c r="S50" i="4"/>
  <c r="U50" i="4" s="1"/>
  <c r="T50" i="4"/>
  <c r="H50" i="5"/>
  <c r="I49" i="5"/>
  <c r="K49" i="5" s="1"/>
  <c r="R52" i="4" l="1"/>
  <c r="S51" i="4"/>
  <c r="U51" i="4" s="1"/>
  <c r="T51" i="4"/>
  <c r="H51" i="5"/>
  <c r="I50" i="5"/>
  <c r="K50" i="5" s="1"/>
  <c r="S52" i="4" l="1"/>
  <c r="U52" i="4" s="1"/>
  <c r="T52" i="4"/>
  <c r="R53" i="4"/>
  <c r="H52" i="5"/>
  <c r="I51" i="5"/>
  <c r="K51" i="5" s="1"/>
  <c r="T53" i="4" l="1"/>
  <c r="S53" i="4"/>
  <c r="U53" i="4" s="1"/>
  <c r="R54" i="4"/>
  <c r="H53" i="5"/>
  <c r="I52" i="5"/>
  <c r="K52" i="5" s="1"/>
  <c r="R55" i="4" l="1"/>
  <c r="S54" i="4"/>
  <c r="U54" i="4" s="1"/>
  <c r="T54" i="4"/>
  <c r="H54" i="5"/>
  <c r="I53" i="5"/>
  <c r="K53" i="5" s="1"/>
  <c r="S55" i="4" l="1"/>
  <c r="U55" i="4" s="1"/>
  <c r="T55" i="4"/>
  <c r="R56" i="4"/>
  <c r="H55" i="5"/>
  <c r="I54" i="5"/>
  <c r="K54" i="5" s="1"/>
  <c r="R57" i="4" l="1"/>
  <c r="S56" i="4"/>
  <c r="U56" i="4" s="1"/>
  <c r="T56" i="4"/>
  <c r="H56" i="5"/>
  <c r="I55" i="5"/>
  <c r="K55" i="5" s="1"/>
  <c r="R58" i="4" l="1"/>
  <c r="S57" i="4"/>
  <c r="U57" i="4" s="1"/>
  <c r="T57" i="4"/>
  <c r="H57" i="5"/>
  <c r="I56" i="5"/>
  <c r="K56" i="5" s="1"/>
  <c r="S58" i="4" l="1"/>
  <c r="U58" i="4" s="1"/>
  <c r="T58" i="4"/>
  <c r="R59" i="4"/>
  <c r="H58" i="5"/>
  <c r="I57" i="5"/>
  <c r="K57" i="5" s="1"/>
  <c r="T59" i="4" l="1"/>
  <c r="S59" i="4"/>
  <c r="U59" i="4" s="1"/>
  <c r="R60" i="4"/>
  <c r="H59" i="5"/>
  <c r="I58" i="5"/>
  <c r="K58" i="5" s="1"/>
  <c r="T60" i="4" l="1"/>
  <c r="S60" i="4"/>
  <c r="U60" i="4" s="1"/>
  <c r="R61" i="4"/>
  <c r="H60" i="5"/>
  <c r="I59" i="5"/>
  <c r="K59" i="5" s="1"/>
  <c r="T61" i="4" l="1"/>
  <c r="S61" i="4"/>
  <c r="U61" i="4" s="1"/>
  <c r="R62" i="4"/>
  <c r="H61" i="5"/>
  <c r="I60" i="5"/>
  <c r="K60" i="5" s="1"/>
  <c r="T62" i="4" l="1"/>
  <c r="S62" i="4"/>
  <c r="U62" i="4" s="1"/>
  <c r="R63" i="4"/>
  <c r="H62" i="5"/>
  <c r="I61" i="5"/>
  <c r="K61" i="5" s="1"/>
  <c r="S63" i="4" l="1"/>
  <c r="U63" i="4" s="1"/>
  <c r="R64" i="4"/>
  <c r="T63" i="4"/>
  <c r="H63" i="5"/>
  <c r="I62" i="5"/>
  <c r="K62" i="5" s="1"/>
  <c r="T64" i="4" l="1"/>
  <c r="S64" i="4"/>
  <c r="U64" i="4" s="1"/>
  <c r="R65" i="4"/>
  <c r="H64" i="5"/>
  <c r="I63" i="5"/>
  <c r="K63" i="5" s="1"/>
  <c r="T65" i="4" l="1"/>
  <c r="S65" i="4"/>
  <c r="U65" i="4" s="1"/>
  <c r="R66" i="4"/>
  <c r="H65" i="5"/>
  <c r="I64" i="5"/>
  <c r="K64" i="5" s="1"/>
  <c r="T66" i="4" l="1"/>
  <c r="S66" i="4"/>
  <c r="U66" i="4" s="1"/>
  <c r="R67" i="4"/>
  <c r="H66" i="5"/>
  <c r="I65" i="5"/>
  <c r="K65" i="5" s="1"/>
  <c r="R68" i="4" l="1"/>
  <c r="T67" i="4"/>
  <c r="S67" i="4"/>
  <c r="U67" i="4" s="1"/>
  <c r="H67" i="5"/>
  <c r="I66" i="5"/>
  <c r="K66" i="5" s="1"/>
  <c r="R69" i="4" l="1"/>
  <c r="T68" i="4"/>
  <c r="S68" i="4"/>
  <c r="U68" i="4" s="1"/>
  <c r="H68" i="5"/>
  <c r="I67" i="5"/>
  <c r="K67" i="5" s="1"/>
  <c r="R70" i="4" l="1"/>
  <c r="T69" i="4"/>
  <c r="S69" i="4"/>
  <c r="U69" i="4" s="1"/>
  <c r="H69" i="5"/>
  <c r="I68" i="5"/>
  <c r="K68" i="5" s="1"/>
  <c r="S70" i="4" l="1"/>
  <c r="U70" i="4" s="1"/>
  <c r="R71" i="4"/>
  <c r="T70" i="4"/>
  <c r="H70" i="5"/>
  <c r="I69" i="5"/>
  <c r="K69" i="5" s="1"/>
  <c r="R72" i="4" l="1"/>
  <c r="S71" i="4"/>
  <c r="U71" i="4" s="1"/>
  <c r="T71" i="4"/>
  <c r="H71" i="5"/>
  <c r="I70" i="5"/>
  <c r="K70" i="5" s="1"/>
  <c r="T72" i="4" l="1"/>
  <c r="R73" i="4"/>
  <c r="S72" i="4"/>
  <c r="U72" i="4" s="1"/>
  <c r="H72" i="5"/>
  <c r="I71" i="5"/>
  <c r="K71" i="5" s="1"/>
  <c r="T73" i="4" l="1"/>
  <c r="R74" i="4"/>
  <c r="S73" i="4"/>
  <c r="U73" i="4" s="1"/>
  <c r="I72" i="5"/>
  <c r="K72" i="5" s="1"/>
  <c r="H73" i="5"/>
  <c r="I73" i="5" s="1"/>
  <c r="K73" i="5" s="1"/>
  <c r="S74" i="4" l="1"/>
  <c r="U74" i="4" s="1"/>
  <c r="R75" i="4"/>
  <c r="T74" i="4"/>
  <c r="T75" i="4" l="1"/>
  <c r="R76" i="4"/>
  <c r="S75" i="4"/>
  <c r="U75" i="4" s="1"/>
  <c r="S76" i="4" l="1"/>
  <c r="U76" i="4" s="1"/>
  <c r="T76" i="4"/>
  <c r="R77" i="4"/>
  <c r="S77" i="4" l="1"/>
  <c r="U77" i="4" s="1"/>
  <c r="R78" i="4"/>
  <c r="T77" i="4"/>
  <c r="R79" i="4" l="1"/>
  <c r="S78" i="4"/>
  <c r="U78" i="4" s="1"/>
  <c r="T78" i="4"/>
  <c r="S79" i="4" l="1"/>
  <c r="U79" i="4" s="1"/>
  <c r="T79" i="4"/>
  <c r="R80" i="4"/>
  <c r="T80" i="4" l="1"/>
  <c r="S80" i="4"/>
  <c r="U80" i="4" s="1"/>
  <c r="R81" i="4"/>
  <c r="R82" i="4" l="1"/>
  <c r="T81" i="4"/>
  <c r="S81" i="4"/>
  <c r="U81" i="4" s="1"/>
  <c r="R83" i="4" l="1"/>
  <c r="S82" i="4"/>
  <c r="U82" i="4" s="1"/>
  <c r="T82" i="4"/>
  <c r="R84" i="4" l="1"/>
  <c r="S83" i="4"/>
  <c r="U83" i="4" s="1"/>
  <c r="T83" i="4"/>
  <c r="R85" i="4" l="1"/>
  <c r="T84" i="4"/>
  <c r="S84" i="4"/>
  <c r="U84" i="4" s="1"/>
  <c r="S85" i="4" l="1"/>
  <c r="U85" i="4" s="1"/>
  <c r="T85" i="4"/>
  <c r="R86" i="4"/>
  <c r="R87" i="4" l="1"/>
  <c r="S86" i="4"/>
  <c r="U86" i="4" s="1"/>
  <c r="T86" i="4"/>
  <c r="R88" i="4" l="1"/>
  <c r="T87" i="4"/>
  <c r="S87" i="4"/>
  <c r="U87" i="4" s="1"/>
  <c r="S88" i="4" l="1"/>
  <c r="U88" i="4" s="1"/>
  <c r="R89" i="4"/>
  <c r="T88" i="4"/>
  <c r="T89" i="4" l="1"/>
  <c r="S89" i="4"/>
  <c r="U89" i="4" s="1"/>
  <c r="R90" i="4"/>
  <c r="S90" i="4" l="1"/>
  <c r="U90" i="4" s="1"/>
  <c r="R91" i="4"/>
  <c r="T90" i="4"/>
  <c r="R92" i="4" l="1"/>
  <c r="T91" i="4"/>
  <c r="S91" i="4"/>
  <c r="U91" i="4" s="1"/>
  <c r="R93" i="4" l="1"/>
  <c r="S92" i="4"/>
  <c r="U92" i="4" s="1"/>
  <c r="T92" i="4"/>
  <c r="R94" i="4" l="1"/>
  <c r="S93" i="4"/>
  <c r="U93" i="4" s="1"/>
  <c r="T93" i="4"/>
  <c r="R95" i="4" l="1"/>
  <c r="S94" i="4"/>
  <c r="U94" i="4" s="1"/>
  <c r="T94" i="4"/>
  <c r="R96" i="4" l="1"/>
  <c r="T95" i="4"/>
  <c r="S95" i="4"/>
  <c r="U95" i="4" s="1"/>
  <c r="R97" i="4" l="1"/>
  <c r="S96" i="4"/>
  <c r="U96" i="4" s="1"/>
  <c r="T96" i="4"/>
  <c r="S97" i="4" l="1"/>
  <c r="U97" i="4" s="1"/>
  <c r="R98" i="4"/>
  <c r="T97" i="4"/>
  <c r="R99" i="4" l="1"/>
  <c r="T98" i="4"/>
  <c r="S98" i="4"/>
  <c r="U98" i="4" s="1"/>
  <c r="R100" i="4" l="1"/>
  <c r="S99" i="4"/>
  <c r="U99" i="4" s="1"/>
  <c r="T99" i="4"/>
  <c r="S100" i="4" l="1"/>
  <c r="U100" i="4" s="1"/>
  <c r="T100" i="4"/>
  <c r="R101" i="4"/>
  <c r="R102" i="4" l="1"/>
  <c r="S101" i="4"/>
  <c r="U101" i="4" s="1"/>
  <c r="T101" i="4"/>
  <c r="T102" i="4" l="1"/>
  <c r="S102" i="4"/>
  <c r="U102" i="4" s="1"/>
  <c r="R103" i="4"/>
  <c r="R104" i="4" l="1"/>
  <c r="T103" i="4"/>
  <c r="S103" i="4"/>
  <c r="U103" i="4" s="1"/>
  <c r="S104" i="4" l="1"/>
  <c r="U104" i="4" s="1"/>
  <c r="T104" i="4"/>
</calcChain>
</file>

<file path=xl/sharedStrings.xml><?xml version="1.0" encoding="utf-8"?>
<sst xmlns="http://schemas.openxmlformats.org/spreadsheetml/2006/main" count="75" uniqueCount="30">
  <si>
    <t>FE</t>
  </si>
  <si>
    <t>T</t>
  </si>
  <si>
    <t>T C</t>
  </si>
  <si>
    <t>J A/cm2</t>
  </si>
  <si>
    <t>J</t>
  </si>
  <si>
    <t>V</t>
  </si>
  <si>
    <t>P bar</t>
  </si>
  <si>
    <t>z`</t>
  </si>
  <si>
    <t>MAX</t>
  </si>
  <si>
    <t>V per cell</t>
  </si>
  <si>
    <t>I</t>
  </si>
  <si>
    <t>test</t>
  </si>
  <si>
    <t>max</t>
  </si>
  <si>
    <t>Scaling</t>
  </si>
  <si>
    <t>y</t>
  </si>
  <si>
    <t>x1</t>
  </si>
  <si>
    <t>x2</t>
  </si>
  <si>
    <t>T=77</t>
  </si>
  <si>
    <t>min</t>
  </si>
  <si>
    <t>Vreal</t>
  </si>
  <si>
    <t>Jreal</t>
  </si>
  <si>
    <t>P</t>
  </si>
  <si>
    <t>line</t>
  </si>
  <si>
    <t>FE real</t>
  </si>
  <si>
    <t>J ma</t>
  </si>
  <si>
    <t>HTO %</t>
  </si>
  <si>
    <t>P_bar</t>
  </si>
  <si>
    <t>T_C</t>
  </si>
  <si>
    <t>J_A_cm2</t>
  </si>
  <si>
    <t>HTO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</si>
</sst>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name val="Calibri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0" xfId="0" applyFont="1"/>
    <xf numFmtId="0" fontId="0" fillId="6" borderId="0" xfId="0" applyFill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524634436404583E-2"/>
          <c:y val="3.1939911812005839E-2"/>
          <c:w val="0.84057087550058485"/>
          <c:h val="0.85133925856421755"/>
        </c:manualLayout>
      </c:layout>
      <c:scatterChart>
        <c:scatterStyle val="lineMarker"/>
        <c:varyColors val="0"/>
        <c:ser>
          <c:idx val="0"/>
          <c:order val="0"/>
          <c:tx>
            <c:v>Experinment data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plotV!$C$9:$C$16</c:f>
              <c:numCache>
                <c:formatCode>General</c:formatCode>
                <c:ptCount val="8"/>
                <c:pt idx="0">
                  <c:v>0.149399932172847</c:v>
                </c:pt>
                <c:pt idx="1">
                  <c:v>0.19883732113119401</c:v>
                </c:pt>
                <c:pt idx="2">
                  <c:v>0.249951154327018</c:v>
                </c:pt>
                <c:pt idx="3">
                  <c:v>0.29938753093981102</c:v>
                </c:pt>
                <c:pt idx="4">
                  <c:v>0.34924301861197299</c:v>
                </c:pt>
                <c:pt idx="5">
                  <c:v>0.39909800011135799</c:v>
                </c:pt>
                <c:pt idx="6">
                  <c:v>0.44937361118844299</c:v>
                </c:pt>
                <c:pt idx="7">
                  <c:v>0.49964922226552799</c:v>
                </c:pt>
              </c:numCache>
            </c:numRef>
          </c:xVal>
          <c:yVal>
            <c:numRef>
              <c:f>plotV!$D$9:$D$16</c:f>
              <c:numCache>
                <c:formatCode>General</c:formatCode>
                <c:ptCount val="8"/>
                <c:pt idx="0">
                  <c:v>1.784177292076875</c:v>
                </c:pt>
                <c:pt idx="1">
                  <c:v>1.8265672374608333</c:v>
                </c:pt>
                <c:pt idx="2">
                  <c:v>1.8689612322270082</c:v>
                </c:pt>
                <c:pt idx="3">
                  <c:v>1.9137666341028832</c:v>
                </c:pt>
                <c:pt idx="4">
                  <c:v>1.9585730483243085</c:v>
                </c:pt>
                <c:pt idx="5">
                  <c:v>2.0045871907917001</c:v>
                </c:pt>
                <c:pt idx="6">
                  <c:v>2.0469791608667669</c:v>
                </c:pt>
                <c:pt idx="7">
                  <c:v>2.0893711309418332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AC-4F9D-A4FD-5117213A4018}"/>
            </c:ext>
          </c:extLst>
        </c:ser>
        <c:ser>
          <c:idx val="1"/>
          <c:order val="1"/>
          <c:tx>
            <c:v>Simulated line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plotV!$T$33:$T$104</c:f>
              <c:numCache>
                <c:formatCode>General</c:formatCode>
                <c:ptCount val="72"/>
                <c:pt idx="0">
                  <c:v>0.14489821000000006</c:v>
                </c:pt>
                <c:pt idx="1">
                  <c:v>0.14989470000000005</c:v>
                </c:pt>
                <c:pt idx="2">
                  <c:v>0.15489119000000007</c:v>
                </c:pt>
                <c:pt idx="3">
                  <c:v>0.15988768000000006</c:v>
                </c:pt>
                <c:pt idx="4">
                  <c:v>0.16488417000000008</c:v>
                </c:pt>
                <c:pt idx="5">
                  <c:v>0.16988066000000007</c:v>
                </c:pt>
                <c:pt idx="6">
                  <c:v>0.17487715000000006</c:v>
                </c:pt>
                <c:pt idx="7">
                  <c:v>0.17987364000000008</c:v>
                </c:pt>
                <c:pt idx="8">
                  <c:v>0.18487013000000008</c:v>
                </c:pt>
                <c:pt idx="9">
                  <c:v>0.1898666200000001</c:v>
                </c:pt>
                <c:pt idx="10">
                  <c:v>0.19486311000000009</c:v>
                </c:pt>
                <c:pt idx="11">
                  <c:v>0.19985960000000011</c:v>
                </c:pt>
                <c:pt idx="12">
                  <c:v>0.2048560900000001</c:v>
                </c:pt>
                <c:pt idx="13">
                  <c:v>0.20985258000000009</c:v>
                </c:pt>
                <c:pt idx="14">
                  <c:v>0.21484907000000011</c:v>
                </c:pt>
                <c:pt idx="15">
                  <c:v>0.21984556000000011</c:v>
                </c:pt>
                <c:pt idx="16">
                  <c:v>0.22484205000000013</c:v>
                </c:pt>
                <c:pt idx="17">
                  <c:v>0.22983854000000012</c:v>
                </c:pt>
                <c:pt idx="18">
                  <c:v>0.23483503000000014</c:v>
                </c:pt>
                <c:pt idx="19">
                  <c:v>0.23983152000000013</c:v>
                </c:pt>
                <c:pt idx="20">
                  <c:v>0.24482801000000015</c:v>
                </c:pt>
                <c:pt idx="21">
                  <c:v>0.24982450000000012</c:v>
                </c:pt>
                <c:pt idx="22">
                  <c:v>0.25482099000000014</c:v>
                </c:pt>
                <c:pt idx="23">
                  <c:v>0.2598174800000001</c:v>
                </c:pt>
                <c:pt idx="24">
                  <c:v>0.26481397000000012</c:v>
                </c:pt>
                <c:pt idx="25">
                  <c:v>0.26981046000000014</c:v>
                </c:pt>
                <c:pt idx="26">
                  <c:v>0.27480695000000016</c:v>
                </c:pt>
                <c:pt idx="27">
                  <c:v>0.27980344000000013</c:v>
                </c:pt>
                <c:pt idx="28">
                  <c:v>0.28479993000000015</c:v>
                </c:pt>
                <c:pt idx="29">
                  <c:v>0.28979642000000017</c:v>
                </c:pt>
                <c:pt idx="30">
                  <c:v>0.29479291000000013</c:v>
                </c:pt>
                <c:pt idx="31">
                  <c:v>0.29978940000000015</c:v>
                </c:pt>
                <c:pt idx="32">
                  <c:v>0.30478589000000017</c:v>
                </c:pt>
                <c:pt idx="33">
                  <c:v>0.30978238000000019</c:v>
                </c:pt>
                <c:pt idx="34">
                  <c:v>0.31477887000000015</c:v>
                </c:pt>
                <c:pt idx="35">
                  <c:v>0.31977536000000018</c:v>
                </c:pt>
                <c:pt idx="36">
                  <c:v>0.3247718500000002</c:v>
                </c:pt>
                <c:pt idx="37">
                  <c:v>0.32976834000000022</c:v>
                </c:pt>
                <c:pt idx="38">
                  <c:v>0.33476483000000018</c:v>
                </c:pt>
                <c:pt idx="39">
                  <c:v>0.3397613200000002</c:v>
                </c:pt>
                <c:pt idx="40">
                  <c:v>0.34475781000000022</c:v>
                </c:pt>
                <c:pt idx="41">
                  <c:v>0.34975430000000018</c:v>
                </c:pt>
                <c:pt idx="42">
                  <c:v>0.3547507900000002</c:v>
                </c:pt>
                <c:pt idx="43">
                  <c:v>0.35974728000000022</c:v>
                </c:pt>
                <c:pt idx="44">
                  <c:v>0.36474377000000024</c:v>
                </c:pt>
                <c:pt idx="45">
                  <c:v>0.36974026000000021</c:v>
                </c:pt>
                <c:pt idx="46">
                  <c:v>0.37473675000000023</c:v>
                </c:pt>
                <c:pt idx="47">
                  <c:v>0.37973324000000025</c:v>
                </c:pt>
                <c:pt idx="48">
                  <c:v>0.38472973000000021</c:v>
                </c:pt>
                <c:pt idx="49">
                  <c:v>0.38972622000000023</c:v>
                </c:pt>
                <c:pt idx="50">
                  <c:v>0.39472271000000025</c:v>
                </c:pt>
                <c:pt idx="51">
                  <c:v>0.39971920000000027</c:v>
                </c:pt>
                <c:pt idx="52">
                  <c:v>0.40471569000000024</c:v>
                </c:pt>
                <c:pt idx="53">
                  <c:v>0.40971218000000026</c:v>
                </c:pt>
                <c:pt idx="54">
                  <c:v>0.41470867000000028</c:v>
                </c:pt>
                <c:pt idx="55">
                  <c:v>0.41970516000000024</c:v>
                </c:pt>
                <c:pt idx="56">
                  <c:v>0.42470165000000026</c:v>
                </c:pt>
                <c:pt idx="57">
                  <c:v>0.42969814000000028</c:v>
                </c:pt>
                <c:pt idx="58">
                  <c:v>0.4346946300000003</c:v>
                </c:pt>
                <c:pt idx="59">
                  <c:v>0.43969112000000027</c:v>
                </c:pt>
                <c:pt idx="60">
                  <c:v>0.44468761000000029</c:v>
                </c:pt>
                <c:pt idx="61">
                  <c:v>0.44968410000000031</c:v>
                </c:pt>
                <c:pt idx="62">
                  <c:v>0.45468059000000033</c:v>
                </c:pt>
                <c:pt idx="63">
                  <c:v>0.45967708000000029</c:v>
                </c:pt>
                <c:pt idx="64">
                  <c:v>0.46467357000000031</c:v>
                </c:pt>
                <c:pt idx="65">
                  <c:v>0.46967006000000033</c:v>
                </c:pt>
                <c:pt idx="66">
                  <c:v>0.4746665500000003</c:v>
                </c:pt>
                <c:pt idx="67">
                  <c:v>0.47966304000000032</c:v>
                </c:pt>
                <c:pt idx="68">
                  <c:v>0.48465953000000034</c:v>
                </c:pt>
                <c:pt idx="69">
                  <c:v>0.48965602000000036</c:v>
                </c:pt>
                <c:pt idx="70">
                  <c:v>0.49465251000000032</c:v>
                </c:pt>
                <c:pt idx="71">
                  <c:v>0.49964900000000034</c:v>
                </c:pt>
              </c:numCache>
            </c:numRef>
          </c:xVal>
          <c:yVal>
            <c:numRef>
              <c:f>plotV!$U$33:$U$104</c:f>
              <c:numCache>
                <c:formatCode>General</c:formatCode>
                <c:ptCount val="72"/>
                <c:pt idx="0">
                  <c:v>1.7740164542727346</c:v>
                </c:pt>
                <c:pt idx="1">
                  <c:v>1.7787785562236123</c:v>
                </c:pt>
                <c:pt idx="2">
                  <c:v>1.7835345888002168</c:v>
                </c:pt>
                <c:pt idx="3">
                  <c:v>1.7882844289720785</c:v>
                </c:pt>
                <c:pt idx="4">
                  <c:v>1.7930279529365756</c:v>
                </c:pt>
                <c:pt idx="5">
                  <c:v>1.7977650360661854</c:v>
                </c:pt>
                <c:pt idx="6">
                  <c:v>1.8024955528580902</c:v>
                </c:pt>
                <c:pt idx="7">
                  <c:v>1.8072193768858729</c:v>
                </c:pt>
                <c:pt idx="8">
                  <c:v>1.8119363807530684</c:v>
                </c:pt>
                <c:pt idx="9">
                  <c:v>1.8166464360483747</c:v>
                </c:pt>
                <c:pt idx="10">
                  <c:v>1.8213494133023411</c:v>
                </c:pt>
                <c:pt idx="11">
                  <c:v>1.8260451819453736</c:v>
                </c:pt>
                <c:pt idx="12">
                  <c:v>1.8307336102669269</c:v>
                </c:pt>
                <c:pt idx="13">
                  <c:v>1.8354145653757481</c:v>
                </c:pt>
                <c:pt idx="14">
                  <c:v>1.8400879131610726</c:v>
                </c:pt>
                <c:pt idx="15">
                  <c:v>1.8447535182546599</c:v>
                </c:pt>
                <c:pt idx="16">
                  <c:v>1.8494112439935915</c:v>
                </c:pt>
                <c:pt idx="17">
                  <c:v>1.8540609523837424</c:v>
                </c:pt>
                <c:pt idx="18">
                  <c:v>1.8587025040638594</c:v>
                </c:pt>
                <c:pt idx="19">
                  <c:v>1.8633357582701773</c:v>
                </c:pt>
                <c:pt idx="20">
                  <c:v>1.8679605728015098</c:v>
                </c:pt>
                <c:pt idx="21">
                  <c:v>1.872576803984767</c:v>
                </c:pt>
                <c:pt idx="22">
                  <c:v>1.8771843066408502</c:v>
                </c:pt>
                <c:pt idx="23">
                  <c:v>1.8817829340508661</c:v>
                </c:pt>
                <c:pt idx="24">
                  <c:v>1.8863725379226348</c:v>
                </c:pt>
                <c:pt idx="25">
                  <c:v>1.8909529683574451</c:v>
                </c:pt>
                <c:pt idx="26">
                  <c:v>1.895524073817018</c:v>
                </c:pt>
                <c:pt idx="27">
                  <c:v>1.9000857010906529</c:v>
                </c:pt>
                <c:pt idx="28">
                  <c:v>1.9046376952625235</c:v>
                </c:pt>
                <c:pt idx="29">
                  <c:v>1.9091798996790934</c:v>
                </c:pt>
                <c:pt idx="30">
                  <c:v>1.9137121559166268</c:v>
                </c:pt>
                <c:pt idx="31">
                  <c:v>1.9182343037487706</c:v>
                </c:pt>
                <c:pt idx="32">
                  <c:v>1.9227461811141831</c:v>
                </c:pt>
                <c:pt idx="33">
                  <c:v>1.9272476240841889</c:v>
                </c:pt>
                <c:pt idx="34">
                  <c:v>1.9317384668304436</c:v>
                </c:pt>
                <c:pt idx="35">
                  <c:v>1.9362185415925794</c:v>
                </c:pt>
                <c:pt idx="36">
                  <c:v>1.9406876786458287</c:v>
                </c:pt>
                <c:pt idx="37">
                  <c:v>1.9451457062685911</c:v>
                </c:pt>
                <c:pt idx="38">
                  <c:v>1.9495924507099507</c:v>
                </c:pt>
                <c:pt idx="39">
                  <c:v>1.9540277361571023</c:v>
                </c:pt>
                <c:pt idx="40">
                  <c:v>1.9584513847026972</c:v>
                </c:pt>
                <c:pt idx="41">
                  <c:v>1.9628632163120745</c:v>
                </c:pt>
                <c:pt idx="42">
                  <c:v>1.9672630487903842</c:v>
                </c:pt>
                <c:pt idx="43">
                  <c:v>1.9716506977495709</c:v>
                </c:pt>
                <c:pt idx="44">
                  <c:v>1.9760259765752215</c:v>
                </c:pt>
                <c:pt idx="45">
                  <c:v>1.9803886963932607</c:v>
                </c:pt>
                <c:pt idx="46">
                  <c:v>1.9847386660364748</c:v>
                </c:pt>
                <c:pt idx="47">
                  <c:v>1.9890756920108739</c:v>
                </c:pt>
                <c:pt idx="48">
                  <c:v>1.9933995784618588</c:v>
                </c:pt>
                <c:pt idx="49">
                  <c:v>1.9977101271402005</c:v>
                </c:pt>
                <c:pt idx="50">
                  <c:v>2.0020071373678165</c:v>
                </c:pt>
                <c:pt idx="51">
                  <c:v>2.0062904060033353</c:v>
                </c:pt>
                <c:pt idx="52">
                  <c:v>2.0105597274074354</c:v>
                </c:pt>
                <c:pt idx="53">
                  <c:v>2.0148148934079679</c:v>
                </c:pt>
                <c:pt idx="54">
                  <c:v>2.0190556932648285</c:v>
                </c:pt>
                <c:pt idx="55">
                  <c:v>2.0232819136345936</c:v>
                </c:pt>
                <c:pt idx="56">
                  <c:v>2.0274933385349025</c:v>
                </c:pt>
                <c:pt idx="57">
                  <c:v>2.0316897493085757</c:v>
                </c:pt>
                <c:pt idx="58">
                  <c:v>2.0358709245874711</c:v>
                </c:pt>
                <c:pt idx="59">
                  <c:v>2.0400366402560635</c:v>
                </c:pt>
                <c:pt idx="60">
                  <c:v>2.0441866694147404</c:v>
                </c:pt>
                <c:pt idx="61">
                  <c:v>2.0483207823428113</c:v>
                </c:pt>
                <c:pt idx="62">
                  <c:v>2.0524387464612253</c:v>
                </c:pt>
                <c:pt idx="63">
                  <c:v>2.0565403262949777</c:v>
                </c:pt>
                <c:pt idx="64">
                  <c:v>2.0606252834352161</c:v>
                </c:pt>
                <c:pt idx="65">
                  <c:v>2.0646933765010269</c:v>
                </c:pt>
                <c:pt idx="66">
                  <c:v>2.068744361100904</c:v>
                </c:pt>
                <c:pt idx="67">
                  <c:v>2.0727779897938814</c:v>
                </c:pt>
                <c:pt idx="68">
                  <c:v>2.0767940120503465</c:v>
                </c:pt>
                <c:pt idx="69">
                  <c:v>2.080792174212494</c:v>
                </c:pt>
                <c:pt idx="70">
                  <c:v>2.0847722194544516</c:v>
                </c:pt>
                <c:pt idx="71">
                  <c:v>2.0887338877420363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3AC-4F9D-A4FD-5117213A40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596351"/>
        <c:axId val="611598271"/>
      </c:scatterChart>
      <c:valAx>
        <c:axId val="6115963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Current density (A/cm</a:t>
                </a:r>
                <a:r>
                  <a:rPr lang="en-GB" baseline="30000"/>
                  <a:t>2</a:t>
                </a:r>
                <a:r>
                  <a:rPr lang="en-GB" baseline="0"/>
                  <a:t>)</a:t>
                </a:r>
              </a:p>
            </c:rich>
          </c:tx>
          <c:layout>
            <c:manualLayout>
              <c:xMode val="edge"/>
              <c:yMode val="edge"/>
              <c:x val="0.37925816146187491"/>
              <c:y val="0.936120176375988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11598271"/>
        <c:crosses val="autoZero"/>
        <c:crossBetween val="midCat"/>
      </c:valAx>
      <c:valAx>
        <c:axId val="611598271"/>
        <c:scaling>
          <c:orientation val="minMax"/>
          <c:min val="1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Cell</a:t>
                </a:r>
                <a:r>
                  <a:rPr lang="en-GB" baseline="0"/>
                  <a:t> Voltage (V)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115963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865430119166426"/>
          <c:y val="0.73555650666531303"/>
          <c:w val="0.23658856985619181"/>
          <c:h val="9.7998142592386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548381452318461"/>
          <c:y val="5.0925925925925923E-2"/>
          <c:w val="0.8297373466614546"/>
          <c:h val="0.80623502238695133"/>
        </c:manualLayout>
      </c:layout>
      <c:scatterChart>
        <c:scatterStyle val="lineMarker"/>
        <c:varyColors val="0"/>
        <c:ser>
          <c:idx val="0"/>
          <c:order val="0"/>
          <c:tx>
            <c:v>Experinment data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plotFE!$C$2:$C$9</c:f>
              <c:numCache>
                <c:formatCode>General</c:formatCode>
                <c:ptCount val="8"/>
                <c:pt idx="0">
                  <c:v>0.14889330501608</c:v>
                </c:pt>
                <c:pt idx="1">
                  <c:v>0.199463221290162</c:v>
                </c:pt>
                <c:pt idx="2">
                  <c:v>0.24920644254046001</c:v>
                </c:pt>
                <c:pt idx="3">
                  <c:v>0.29895016209999398</c:v>
                </c:pt>
                <c:pt idx="4">
                  <c:v>0.34910797663527599</c:v>
                </c:pt>
                <c:pt idx="5">
                  <c:v>0.39927376411834598</c:v>
                </c:pt>
                <c:pt idx="6">
                  <c:v>0.449027449862616</c:v>
                </c:pt>
                <c:pt idx="7">
                  <c:v>0.49835707444640298</c:v>
                </c:pt>
              </c:numCache>
            </c:numRef>
          </c:xVal>
          <c:yVal>
            <c:numRef>
              <c:f>plotFE!$D$2:$D$9</c:f>
              <c:numCache>
                <c:formatCode>General</c:formatCode>
                <c:ptCount val="8"/>
                <c:pt idx="0">
                  <c:v>86.814737595338997</c:v>
                </c:pt>
                <c:pt idx="1">
                  <c:v>89.350932286751004</c:v>
                </c:pt>
                <c:pt idx="2">
                  <c:v>91.285966714936194</c:v>
                </c:pt>
                <c:pt idx="3">
                  <c:v>93.100808955214902</c:v>
                </c:pt>
                <c:pt idx="4">
                  <c:v>95.035943045247393</c:v>
                </c:pt>
                <c:pt idx="5">
                  <c:v>95.048002128777</c:v>
                </c:pt>
                <c:pt idx="6">
                  <c:v>94.459000610927006</c:v>
                </c:pt>
                <c:pt idx="7">
                  <c:v>96.153551001452001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FF-4623-B732-5AAAA1B1DC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7092575"/>
        <c:axId val="597084895"/>
      </c:scatterChart>
      <c:scatterChart>
        <c:scatterStyle val="smoothMarker"/>
        <c:varyColors val="0"/>
        <c:ser>
          <c:idx val="1"/>
          <c:order val="1"/>
          <c:tx>
            <c:v>Simulated line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plotFE!$J$2:$J$73</c:f>
              <c:numCache>
                <c:formatCode>General</c:formatCode>
                <c:ptCount val="72"/>
                <c:pt idx="0">
                  <c:v>0.14500173999999996</c:v>
                </c:pt>
                <c:pt idx="1">
                  <c:v>0.15000179999999999</c:v>
                </c:pt>
                <c:pt idx="2">
                  <c:v>0.15500185999999999</c:v>
                </c:pt>
                <c:pt idx="3">
                  <c:v>0.16000191999999999</c:v>
                </c:pt>
                <c:pt idx="4">
                  <c:v>0.16500197999999999</c:v>
                </c:pt>
                <c:pt idx="5">
                  <c:v>0.17000203999999999</c:v>
                </c:pt>
                <c:pt idx="6">
                  <c:v>0.17500209999999999</c:v>
                </c:pt>
                <c:pt idx="7">
                  <c:v>0.18000215999999999</c:v>
                </c:pt>
                <c:pt idx="8">
                  <c:v>0.18500222</c:v>
                </c:pt>
                <c:pt idx="9">
                  <c:v>0.19000228000000002</c:v>
                </c:pt>
                <c:pt idx="10">
                  <c:v>0.19500234000000002</c:v>
                </c:pt>
                <c:pt idx="11">
                  <c:v>0.20000240000000002</c:v>
                </c:pt>
                <c:pt idx="12">
                  <c:v>0.20500246000000003</c:v>
                </c:pt>
                <c:pt idx="13">
                  <c:v>0.21000252000000003</c:v>
                </c:pt>
                <c:pt idx="14">
                  <c:v>0.21500258000000003</c:v>
                </c:pt>
                <c:pt idx="15">
                  <c:v>0.22000264000000003</c:v>
                </c:pt>
                <c:pt idx="16">
                  <c:v>0.22500270000000003</c:v>
                </c:pt>
                <c:pt idx="17">
                  <c:v>0.23000276000000006</c:v>
                </c:pt>
                <c:pt idx="18">
                  <c:v>0.23500282000000006</c:v>
                </c:pt>
                <c:pt idx="19">
                  <c:v>0.24000288000000006</c:v>
                </c:pt>
                <c:pt idx="20">
                  <c:v>0.24500294000000006</c:v>
                </c:pt>
                <c:pt idx="21">
                  <c:v>0.25000300000000003</c:v>
                </c:pt>
                <c:pt idx="22">
                  <c:v>0.25500306000000006</c:v>
                </c:pt>
                <c:pt idx="23">
                  <c:v>0.26000312000000003</c:v>
                </c:pt>
                <c:pt idx="24">
                  <c:v>0.26500318000000006</c:v>
                </c:pt>
                <c:pt idx="25">
                  <c:v>0.27000324000000003</c:v>
                </c:pt>
                <c:pt idx="26">
                  <c:v>0.27500330000000006</c:v>
                </c:pt>
                <c:pt idx="27">
                  <c:v>0.28000336000000003</c:v>
                </c:pt>
                <c:pt idx="28">
                  <c:v>0.28500342000000006</c:v>
                </c:pt>
                <c:pt idx="29">
                  <c:v>0.29000348000000004</c:v>
                </c:pt>
                <c:pt idx="30">
                  <c:v>0.29500354000000006</c:v>
                </c:pt>
                <c:pt idx="31">
                  <c:v>0.30000360000000009</c:v>
                </c:pt>
                <c:pt idx="32">
                  <c:v>0.30500366000000007</c:v>
                </c:pt>
                <c:pt idx="33">
                  <c:v>0.31000372000000009</c:v>
                </c:pt>
                <c:pt idx="34">
                  <c:v>0.31500378000000007</c:v>
                </c:pt>
                <c:pt idx="35">
                  <c:v>0.32000384000000009</c:v>
                </c:pt>
                <c:pt idx="36">
                  <c:v>0.32500390000000007</c:v>
                </c:pt>
                <c:pt idx="37">
                  <c:v>0.3300039600000001</c:v>
                </c:pt>
                <c:pt idx="38">
                  <c:v>0.33500402000000012</c:v>
                </c:pt>
                <c:pt idx="39">
                  <c:v>0.3400040800000001</c:v>
                </c:pt>
                <c:pt idx="40">
                  <c:v>0.34500414000000013</c:v>
                </c:pt>
                <c:pt idx="41">
                  <c:v>0.3500042000000001</c:v>
                </c:pt>
                <c:pt idx="42">
                  <c:v>0.35500426000000013</c:v>
                </c:pt>
                <c:pt idx="43">
                  <c:v>0.3600043200000001</c:v>
                </c:pt>
                <c:pt idx="44">
                  <c:v>0.36500438000000013</c:v>
                </c:pt>
                <c:pt idx="45">
                  <c:v>0.3700044400000001</c:v>
                </c:pt>
                <c:pt idx="46">
                  <c:v>0.37500450000000013</c:v>
                </c:pt>
                <c:pt idx="47">
                  <c:v>0.38000456000000016</c:v>
                </c:pt>
                <c:pt idx="48">
                  <c:v>0.38500462000000013</c:v>
                </c:pt>
                <c:pt idx="49">
                  <c:v>0.39000468000000016</c:v>
                </c:pt>
                <c:pt idx="50">
                  <c:v>0.39500474000000013</c:v>
                </c:pt>
                <c:pt idx="51">
                  <c:v>0.40000480000000016</c:v>
                </c:pt>
                <c:pt idx="52">
                  <c:v>0.40500486000000013</c:v>
                </c:pt>
                <c:pt idx="53">
                  <c:v>0.41000492000000016</c:v>
                </c:pt>
                <c:pt idx="54">
                  <c:v>0.41500498000000013</c:v>
                </c:pt>
                <c:pt idx="55">
                  <c:v>0.42000504000000016</c:v>
                </c:pt>
                <c:pt idx="56">
                  <c:v>0.42500510000000019</c:v>
                </c:pt>
                <c:pt idx="57">
                  <c:v>0.43000516000000016</c:v>
                </c:pt>
                <c:pt idx="58">
                  <c:v>0.43500522000000019</c:v>
                </c:pt>
                <c:pt idx="59">
                  <c:v>0.44000528000000017</c:v>
                </c:pt>
                <c:pt idx="60">
                  <c:v>0.44500534000000019</c:v>
                </c:pt>
                <c:pt idx="61">
                  <c:v>0.45000540000000017</c:v>
                </c:pt>
                <c:pt idx="62">
                  <c:v>0.45500546000000019</c:v>
                </c:pt>
                <c:pt idx="63">
                  <c:v>0.46000552000000022</c:v>
                </c:pt>
                <c:pt idx="64">
                  <c:v>0.4650055800000002</c:v>
                </c:pt>
                <c:pt idx="65">
                  <c:v>0.47000564000000022</c:v>
                </c:pt>
                <c:pt idx="66">
                  <c:v>0.4750057000000002</c:v>
                </c:pt>
                <c:pt idx="67">
                  <c:v>0.48000576000000023</c:v>
                </c:pt>
                <c:pt idx="68">
                  <c:v>0.4850058200000002</c:v>
                </c:pt>
                <c:pt idx="69">
                  <c:v>0.49000588000000023</c:v>
                </c:pt>
                <c:pt idx="70">
                  <c:v>0.4950059400000002</c:v>
                </c:pt>
                <c:pt idx="71">
                  <c:v>0.50000600000000017</c:v>
                </c:pt>
              </c:numCache>
            </c:numRef>
          </c:xVal>
          <c:yVal>
            <c:numRef>
              <c:f>plotFE!$K$2:$K$73</c:f>
              <c:numCache>
                <c:formatCode>General</c:formatCode>
                <c:ptCount val="72"/>
                <c:pt idx="0">
                  <c:v>86.325153059278932</c:v>
                </c:pt>
                <c:pt idx="1">
                  <c:v>86.671219818337363</c:v>
                </c:pt>
                <c:pt idx="2">
                  <c:v>87.006818811194123</c:v>
                </c:pt>
                <c:pt idx="3">
                  <c:v>87.33232287964843</c:v>
                </c:pt>
                <c:pt idx="4">
                  <c:v>87.648077086439415</c:v>
                </c:pt>
                <c:pt idx="5">
                  <c:v>87.954401738766279</c:v>
                </c:pt>
                <c:pt idx="6">
                  <c:v>88.251595017556411</c:v>
                </c:pt>
                <c:pt idx="7">
                  <c:v>88.539935274126151</c:v>
                </c:pt>
                <c:pt idx="8">
                  <c:v>88.819683044819172</c:v>
                </c:pt>
                <c:pt idx="9">
                  <c:v>89.091082825375651</c:v>
                </c:pt>
                <c:pt idx="10">
                  <c:v>89.354364639687503</c:v>
                </c:pt>
                <c:pt idx="11">
                  <c:v>89.609745431853753</c:v>
                </c:pt>
                <c:pt idx="12">
                  <c:v>89.857430305780341</c:v>
                </c:pt>
                <c:pt idx="13">
                  <c:v>90.097613632747795</c:v>
                </c:pt>
                <c:pt idx="14">
                  <c:v>90.330480044228381</c:v>
                </c:pt>
                <c:pt idx="15">
                  <c:v>90.556205324638256</c:v>
                </c:pt>
                <c:pt idx="16">
                  <c:v>90.77495721655302</c:v>
                </c:pt>
                <c:pt idx="17">
                  <c:v>90.986896149117584</c:v>
                </c:pt>
                <c:pt idx="18">
                  <c:v>91.192175898873856</c:v>
                </c:pt>
                <c:pt idx="19">
                  <c:v>91.390944190962429</c:v>
                </c:pt>
                <c:pt idx="20">
                  <c:v>91.583343247584736</c:v>
                </c:pt>
                <c:pt idx="21">
                  <c:v>91.769510289704357</c:v>
                </c:pt>
                <c:pt idx="22">
                  <c:v>91.949577997195135</c:v>
                </c:pt>
                <c:pt idx="23">
                  <c:v>92.123674931984681</c:v>
                </c:pt>
                <c:pt idx="24">
                  <c:v>92.29192592817833</c:v>
                </c:pt>
                <c:pt idx="25">
                  <c:v>92.454452452663574</c:v>
                </c:pt>
                <c:pt idx="26">
                  <c:v>92.611372939278411</c:v>
                </c:pt>
                <c:pt idx="27">
                  <c:v>92.762803099265327</c:v>
                </c:pt>
                <c:pt idx="28">
                  <c:v>92.90885621042122</c:v>
                </c:pt>
                <c:pt idx="29">
                  <c:v>93.04964338708092</c:v>
                </c:pt>
                <c:pt idx="30">
                  <c:v>93.185273832836785</c:v>
                </c:pt>
                <c:pt idx="31">
                  <c:v>93.315855077688838</c:v>
                </c:pt>
                <c:pt idx="32">
                  <c:v>93.441493201140489</c:v>
                </c:pt>
                <c:pt idx="33">
                  <c:v>93.562293042595797</c:v>
                </c:pt>
                <c:pt idx="34">
                  <c:v>93.678358400274362</c:v>
                </c:pt>
                <c:pt idx="35">
                  <c:v>93.789792219738374</c:v>
                </c:pt>
                <c:pt idx="36">
                  <c:v>93.896696773016416</c:v>
                </c:pt>
                <c:pt idx="37">
                  <c:v>93.999173829214158</c:v>
                </c:pt>
                <c:pt idx="38">
                  <c:v>94.097324817415881</c:v>
                </c:pt>
                <c:pt idx="39">
                  <c:v>94.191250982606178</c:v>
                </c:pt>
                <c:pt idx="40">
                  <c:v>94.281053535273742</c:v>
                </c:pt>
                <c:pt idx="41">
                  <c:v>94.366833795299144</c:v>
                </c:pt>
                <c:pt idx="42">
                  <c:v>94.448693330675781</c:v>
                </c:pt>
                <c:pt idx="43">
                  <c:v>94.526734091564592</c:v>
                </c:pt>
                <c:pt idx="44">
                  <c:v>94.601058540141679</c:v>
                </c:pt>
                <c:pt idx="45">
                  <c:v>94.671769776658266</c:v>
                </c:pt>
                <c:pt idx="46">
                  <c:v>94.738971662099658</c:v>
                </c:pt>
                <c:pt idx="47">
                  <c:v>94.802768937797524</c:v>
                </c:pt>
                <c:pt idx="48">
                  <c:v>94.863267342323439</c:v>
                </c:pt>
                <c:pt idx="49">
                  <c:v>94.920573725965411</c:v>
                </c:pt>
                <c:pt idx="50">
                  <c:v>94.974796163067595</c:v>
                </c:pt>
                <c:pt idx="51">
                  <c:v>95.02604406249219</c:v>
                </c:pt>
                <c:pt idx="52">
                  <c:v>95.074428276444863</c:v>
                </c:pt>
                <c:pt idx="53">
                  <c:v>95.120061207887744</c:v>
                </c:pt>
                <c:pt idx="54">
                  <c:v>95.163056916749568</c:v>
                </c:pt>
                <c:pt idx="55">
                  <c:v>95.203531225128444</c:v>
                </c:pt>
                <c:pt idx="56">
                  <c:v>95.241601821670599</c:v>
                </c:pt>
                <c:pt idx="57">
                  <c:v>95.277388365297327</c:v>
                </c:pt>
                <c:pt idx="58">
                  <c:v>95.311012588441685</c:v>
                </c:pt>
                <c:pt idx="59">
                  <c:v>95.342598399948173</c:v>
                </c:pt>
                <c:pt idx="60">
                  <c:v>95.372271987779158</c:v>
                </c:pt>
                <c:pt idx="61">
                  <c:v>95.400161921665045</c:v>
                </c:pt>
                <c:pt idx="62">
                  <c:v>95.426399255827846</c:v>
                </c:pt>
                <c:pt idx="63">
                  <c:v>95.451117631901582</c:v>
                </c:pt>
                <c:pt idx="64">
                  <c:v>95.474453382167397</c:v>
                </c:pt>
                <c:pt idx="65">
                  <c:v>95.496545633215959</c:v>
                </c:pt>
                <c:pt idx="66">
                  <c:v>95.517536410144842</c:v>
                </c:pt>
                <c:pt idx="67">
                  <c:v>95.53757074139493</c:v>
                </c:pt>
                <c:pt idx="68">
                  <c:v>95.556796764325327</c:v>
                </c:pt>
                <c:pt idx="69">
                  <c:v>95.575365831622975</c:v>
                </c:pt>
                <c:pt idx="70">
                  <c:v>95.593432618640676</c:v>
                </c:pt>
                <c:pt idx="71">
                  <c:v>95.611155231753159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AFF-4623-B732-5AAAA1B1DC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7092575"/>
        <c:axId val="597084895"/>
      </c:scatterChart>
      <c:valAx>
        <c:axId val="5970925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Current density (A/cm</a:t>
                </a:r>
                <a:r>
                  <a:rPr lang="en-GB" baseline="30000"/>
                  <a:t>2</a:t>
                </a:r>
                <a:r>
                  <a:rPr lang="en-GB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7084895"/>
        <c:crosses val="autoZero"/>
        <c:crossBetween val="midCat"/>
      </c:valAx>
      <c:valAx>
        <c:axId val="5970848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FE</a:t>
                </a:r>
                <a:r>
                  <a:rPr lang="en-GB" baseline="0"/>
                  <a:t> (%)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70925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257968585412416"/>
          <c:y val="0.68743781319227837"/>
          <c:w val="0.30025278755049234"/>
          <c:h val="0.13867583260726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37</xdr:row>
      <xdr:rowOff>139700</xdr:rowOff>
    </xdr:from>
    <xdr:to>
      <xdr:col>14</xdr:col>
      <xdr:colOff>114300</xdr:colOff>
      <xdr:row>53</xdr:row>
      <xdr:rowOff>90679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657180-7678-0EE9-ACBF-B3F22E4C0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953250"/>
          <a:ext cx="9099550" cy="2897379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47</xdr:row>
      <xdr:rowOff>0</xdr:rowOff>
    </xdr:from>
    <xdr:to>
      <xdr:col>14</xdr:col>
      <xdr:colOff>276225</xdr:colOff>
      <xdr:row>62</xdr:row>
      <xdr:rowOff>164125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B730A5-11FF-A480-8C2C-DCB2814337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725" y="8953500"/>
          <a:ext cx="9020175" cy="3021625"/>
        </a:xfrm>
        <a:prstGeom prst="rect">
          <a:avLst/>
        </a:prstGeom>
      </xdr:spPr>
    </xdr:pic>
    <xdr:clientData/>
  </xdr:twoCellAnchor>
  <xdr:twoCellAnchor editAs="oneCell">
    <xdr:from>
      <xdr:col>6</xdr:col>
      <xdr:colOff>514350</xdr:colOff>
      <xdr:row>50</xdr:row>
      <xdr:rowOff>161925</xdr:rowOff>
    </xdr:from>
    <xdr:to>
      <xdr:col>22</xdr:col>
      <xdr:colOff>275011</xdr:colOff>
      <xdr:row>68</xdr:row>
      <xdr:rowOff>142449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74CA9E7-E7BD-EF73-A51C-7D6BB00262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91000" y="9686925"/>
          <a:ext cx="9714286" cy="34095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330200</xdr:colOff>
      <xdr:row>14</xdr:row>
      <xdr:rowOff>0</xdr:rowOff>
    </xdr:from>
    <xdr:to>
      <xdr:col>30</xdr:col>
      <xdr:colOff>520700</xdr:colOff>
      <xdr:row>32</xdr:row>
      <xdr:rowOff>153711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C8E91321-819B-556B-4145-F28ADFBE3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0" y="2667000"/>
          <a:ext cx="7594600" cy="35827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162753</xdr:colOff>
      <xdr:row>10</xdr:row>
      <xdr:rowOff>24848</xdr:rowOff>
    </xdr:from>
    <xdr:to>
      <xdr:col>15</xdr:col>
      <xdr:colOff>372717</xdr:colOff>
      <xdr:row>33</xdr:row>
      <xdr:rowOff>17186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7FD7B1-6989-79BA-28FC-2126619B87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276225</xdr:colOff>
      <xdr:row>12</xdr:row>
      <xdr:rowOff>109536</xdr:rowOff>
    </xdr:from>
    <xdr:to>
      <xdr:col>20</xdr:col>
      <xdr:colOff>38100</xdr:colOff>
      <xdr:row>28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D05B20-D291-09B6-3F20-BFB9EB1D6A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114300</xdr:colOff>
      <xdr:row>8</xdr:row>
      <xdr:rowOff>133350</xdr:rowOff>
    </xdr:from>
    <xdr:to>
      <xdr:col>23</xdr:col>
      <xdr:colOff>56319</xdr:colOff>
      <xdr:row>11</xdr:row>
      <xdr:rowOff>47564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E898494-0493-2CC5-E1EB-A45BC833DE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86700" y="1581150"/>
          <a:ext cx="7066719" cy="4571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6"/>
  <sheetViews>
    <sheetView workbookViewId="0">
      <selection activeCell="F29" sqref="F29"/>
    </sheetView>
  </sheetViews>
  <sheetFormatPr defaultColWidth="8.81640625" defaultRowHeight="14.5"/>
  <cols>
    <col min="3" max="3" width="9.453125" customWidth="1"/>
    <col min="14" max="14" width="13.36328125" customWidth="1"/>
    <col min="15" max="22" width="9" customWidth="1"/>
  </cols>
  <sheetData>
    <row r="1" spans="1:27">
      <c r="A1" s="5" t="s">
        <v>6</v>
      </c>
      <c r="B1" s="3" t="s">
        <v>2</v>
      </c>
      <c r="C1" s="3" t="s">
        <v>3</v>
      </c>
      <c r="D1" s="4" t="s">
        <v>0</v>
      </c>
      <c r="E1" s="6"/>
      <c r="F1" t="s">
        <v>1</v>
      </c>
      <c r="G1" t="s">
        <v>4</v>
      </c>
      <c r="H1" s="1" t="s">
        <v>0</v>
      </c>
      <c r="K1" t="s">
        <v>6</v>
      </c>
      <c r="L1" s="3" t="s">
        <v>1</v>
      </c>
      <c r="M1" s="3" t="s">
        <v>24</v>
      </c>
      <c r="N1" s="3" t="s">
        <v>4</v>
      </c>
      <c r="O1" s="4" t="s">
        <v>5</v>
      </c>
      <c r="P1" s="4" t="s">
        <v>9</v>
      </c>
      <c r="Q1" s="4" t="s">
        <v>10</v>
      </c>
      <c r="R1" s="4" t="s">
        <v>13</v>
      </c>
      <c r="S1" s="4" t="s">
        <v>1</v>
      </c>
      <c r="T1" s="4" t="s">
        <v>4</v>
      </c>
      <c r="U1" s="4" t="s">
        <v>5</v>
      </c>
      <c r="V1" s="4"/>
      <c r="X1" s="1" t="s">
        <v>6</v>
      </c>
      <c r="Y1" s="1" t="s">
        <v>1</v>
      </c>
      <c r="Z1" s="1" t="s">
        <v>4</v>
      </c>
      <c r="AA1" s="1" t="s">
        <v>5</v>
      </c>
    </row>
    <row r="2" spans="1:27">
      <c r="A2" s="5">
        <v>7</v>
      </c>
      <c r="B2">
        <v>75</v>
      </c>
      <c r="C2">
        <v>0.14889330501608</v>
      </c>
      <c r="D2">
        <v>86.814737595338997</v>
      </c>
      <c r="F2">
        <f>B2/75</f>
        <v>1</v>
      </c>
      <c r="G2">
        <f>C2/0.500006</f>
        <v>0.29778303663572042</v>
      </c>
      <c r="H2">
        <f>D2/98.4376</f>
        <v>0.88192659710658317</v>
      </c>
      <c r="K2">
        <v>7</v>
      </c>
      <c r="L2">
        <v>75</v>
      </c>
      <c r="N2">
        <v>0.149399932172847</v>
      </c>
      <c r="O2">
        <v>21.410127504922499</v>
      </c>
      <c r="P2">
        <f>O2/12</f>
        <v>1.784177292076875</v>
      </c>
      <c r="Q2">
        <f>N2*1000</f>
        <v>149.399932172847</v>
      </c>
      <c r="S2">
        <f>L2/75</f>
        <v>1</v>
      </c>
      <c r="T2">
        <f>N2/0.499649</f>
        <v>0.29900976920367495</v>
      </c>
      <c r="U2">
        <f>P2/2.182365</f>
        <v>0.81754302881363805</v>
      </c>
      <c r="X2" s="1">
        <v>5</v>
      </c>
      <c r="Y2" s="1">
        <v>75</v>
      </c>
      <c r="Z2" s="1">
        <v>0.14963503649634999</v>
      </c>
      <c r="AA2" s="1">
        <v>21.204946996466401</v>
      </c>
    </row>
    <row r="3" spans="1:27">
      <c r="A3" s="5">
        <v>7</v>
      </c>
      <c r="B3">
        <v>75</v>
      </c>
      <c r="C3">
        <v>0.199463221290162</v>
      </c>
      <c r="D3">
        <v>89.350932286751004</v>
      </c>
      <c r="F3">
        <f t="shared" ref="F3:F17" si="0">B3/75</f>
        <v>1</v>
      </c>
      <c r="G3">
        <f t="shared" ref="G3:G17" si="1">C3/0.500006</f>
        <v>0.39892165552045777</v>
      </c>
      <c r="H3">
        <f t="shared" ref="H3:H17" si="2">D3/98.4376</f>
        <v>0.90769108843319013</v>
      </c>
      <c r="K3">
        <v>7</v>
      </c>
      <c r="L3">
        <v>75</v>
      </c>
      <c r="N3">
        <v>0.19883732113119401</v>
      </c>
      <c r="O3">
        <v>21.91880684953</v>
      </c>
      <c r="P3">
        <f t="shared" ref="P3:P33" si="3">O3/12</f>
        <v>1.8265672374608333</v>
      </c>
      <c r="Q3">
        <f t="shared" ref="Q3:Q33" si="4">N3*1000</f>
        <v>198.83732113119402</v>
      </c>
      <c r="S3">
        <f t="shared" ref="S3:S33" si="5">L3/75</f>
        <v>1</v>
      </c>
      <c r="T3">
        <f t="shared" ref="T3:T32" si="6">N3/0.499649</f>
        <v>0.39795400597458219</v>
      </c>
      <c r="U3">
        <f>P3/2.182365</f>
        <v>0.83696688567715916</v>
      </c>
      <c r="X3" s="1">
        <v>5</v>
      </c>
      <c r="Y3" s="1">
        <v>75</v>
      </c>
      <c r="Z3" s="1">
        <v>0.19910786699107799</v>
      </c>
      <c r="AA3" s="1">
        <v>21.727915194346199</v>
      </c>
    </row>
    <row r="4" spans="1:27">
      <c r="A4" s="5">
        <v>7</v>
      </c>
      <c r="B4">
        <v>75</v>
      </c>
      <c r="C4">
        <v>0.24920644254046001</v>
      </c>
      <c r="D4">
        <v>91.285966714936194</v>
      </c>
      <c r="F4">
        <f t="shared" si="0"/>
        <v>1</v>
      </c>
      <c r="G4">
        <f t="shared" si="1"/>
        <v>0.49840690419806971</v>
      </c>
      <c r="H4">
        <f t="shared" si="2"/>
        <v>0.9273485610674802</v>
      </c>
      <c r="K4">
        <v>7</v>
      </c>
      <c r="L4">
        <v>75</v>
      </c>
      <c r="N4">
        <v>0.249951154327018</v>
      </c>
      <c r="O4">
        <v>22.427534786724099</v>
      </c>
      <c r="P4">
        <f t="shared" si="3"/>
        <v>1.8689612322270082</v>
      </c>
      <c r="Q4">
        <f t="shared" si="4"/>
        <v>249.951154327018</v>
      </c>
      <c r="S4">
        <f t="shared" si="5"/>
        <v>1</v>
      </c>
      <c r="T4">
        <f>N4/0.499649</f>
        <v>0.50025348660163038</v>
      </c>
      <c r="U4">
        <f t="shared" ref="U4:U33" si="7">P4/2.182365</f>
        <v>0.85639259804249435</v>
      </c>
      <c r="X4" s="1">
        <v>5</v>
      </c>
      <c r="Y4" s="1">
        <v>75</v>
      </c>
      <c r="Z4" s="1">
        <v>0.249391727493917</v>
      </c>
      <c r="AA4" s="1">
        <v>22.321554770317999</v>
      </c>
    </row>
    <row r="5" spans="1:27">
      <c r="A5" s="5">
        <v>7</v>
      </c>
      <c r="B5">
        <v>75</v>
      </c>
      <c r="C5">
        <v>0.29895016209999398</v>
      </c>
      <c r="D5">
        <v>93.100808955214902</v>
      </c>
      <c r="F5">
        <f t="shared" si="0"/>
        <v>1</v>
      </c>
      <c r="G5">
        <f t="shared" si="1"/>
        <v>0.59789314948219419</v>
      </c>
      <c r="H5">
        <f t="shared" si="2"/>
        <v>0.94578503493802057</v>
      </c>
      <c r="K5">
        <v>7</v>
      </c>
      <c r="L5">
        <v>75</v>
      </c>
      <c r="N5">
        <v>0.29938753093981102</v>
      </c>
      <c r="O5">
        <v>22.965199609234599</v>
      </c>
      <c r="P5">
        <f t="shared" si="3"/>
        <v>1.9137666341028832</v>
      </c>
      <c r="Q5">
        <f t="shared" si="4"/>
        <v>299.38753093981103</v>
      </c>
      <c r="S5">
        <f t="shared" si="5"/>
        <v>1</v>
      </c>
      <c r="T5">
        <f t="shared" si="6"/>
        <v>0.59919569725909794</v>
      </c>
      <c r="U5">
        <f t="shared" si="7"/>
        <v>0.87692326173801505</v>
      </c>
      <c r="X5" s="1">
        <v>5</v>
      </c>
      <c r="Y5" s="1">
        <v>75</v>
      </c>
      <c r="Z5" s="1">
        <v>0.29967558799675498</v>
      </c>
      <c r="AA5" s="1">
        <v>22.844522968197801</v>
      </c>
    </row>
    <row r="6" spans="1:27">
      <c r="A6" s="5">
        <v>7</v>
      </c>
      <c r="B6">
        <v>75</v>
      </c>
      <c r="C6">
        <v>0.34910797663527599</v>
      </c>
      <c r="D6">
        <v>95.035943045247393</v>
      </c>
      <c r="F6">
        <f t="shared" si="0"/>
        <v>1</v>
      </c>
      <c r="G6">
        <f t="shared" si="1"/>
        <v>0.69820757477965467</v>
      </c>
      <c r="H6">
        <f t="shared" si="2"/>
        <v>0.96544352000909606</v>
      </c>
      <c r="K6">
        <v>7</v>
      </c>
      <c r="L6">
        <v>75</v>
      </c>
      <c r="N6">
        <v>0.34924301861197299</v>
      </c>
      <c r="O6">
        <v>23.502876579891701</v>
      </c>
      <c r="P6">
        <f t="shared" si="3"/>
        <v>1.9585730483243085</v>
      </c>
      <c r="Q6">
        <f t="shared" si="4"/>
        <v>349.24301861197301</v>
      </c>
      <c r="S6">
        <f t="shared" si="5"/>
        <v>1</v>
      </c>
      <c r="T6">
        <f t="shared" si="6"/>
        <v>0.69897671888060009</v>
      </c>
      <c r="U6">
        <f t="shared" si="7"/>
        <v>0.89745438930898758</v>
      </c>
      <c r="X6" s="1">
        <v>5</v>
      </c>
      <c r="Y6" s="1">
        <v>75</v>
      </c>
      <c r="Z6" s="1">
        <v>0.34955393349553898</v>
      </c>
      <c r="AA6" s="1">
        <v>23.409893992932801</v>
      </c>
    </row>
    <row r="7" spans="1:27">
      <c r="A7" s="5">
        <v>7</v>
      </c>
      <c r="B7">
        <v>75</v>
      </c>
      <c r="C7">
        <v>0.39927376411834598</v>
      </c>
      <c r="D7">
        <v>95.048002128777</v>
      </c>
      <c r="F7">
        <f t="shared" si="0"/>
        <v>1</v>
      </c>
      <c r="G7">
        <f t="shared" si="1"/>
        <v>0.79853794578134263</v>
      </c>
      <c r="H7">
        <f t="shared" si="2"/>
        <v>0.9655660248601855</v>
      </c>
      <c r="K7">
        <v>7</v>
      </c>
      <c r="L7">
        <v>75</v>
      </c>
      <c r="N7">
        <v>0.39909800011135799</v>
      </c>
      <c r="O7">
        <v>24.0550462895004</v>
      </c>
      <c r="P7">
        <f t="shared" si="3"/>
        <v>2.0045871907917001</v>
      </c>
      <c r="Q7">
        <f t="shared" si="4"/>
        <v>399.09800011135798</v>
      </c>
      <c r="S7">
        <f t="shared" si="5"/>
        <v>1</v>
      </c>
      <c r="T7">
        <f t="shared" si="6"/>
        <v>0.79875672744538262</v>
      </c>
      <c r="U7">
        <f t="shared" si="7"/>
        <v>0.9185389202959634</v>
      </c>
      <c r="X7" s="1">
        <v>5</v>
      </c>
      <c r="Y7" s="1">
        <v>75</v>
      </c>
      <c r="Z7" s="1">
        <v>0.39983779399837699</v>
      </c>
      <c r="AA7" s="1">
        <v>23.932862190812699</v>
      </c>
    </row>
    <row r="8" spans="1:27">
      <c r="A8" s="5">
        <v>7</v>
      </c>
      <c r="B8">
        <v>75</v>
      </c>
      <c r="C8">
        <v>0.449027449862616</v>
      </c>
      <c r="D8">
        <v>94.459000610927006</v>
      </c>
      <c r="F8">
        <f t="shared" si="0"/>
        <v>1</v>
      </c>
      <c r="G8">
        <f t="shared" si="1"/>
        <v>0.89804412319575377</v>
      </c>
      <c r="H8">
        <f t="shared" si="2"/>
        <v>0.95958252345574258</v>
      </c>
      <c r="K8">
        <v>7</v>
      </c>
      <c r="L8">
        <v>75</v>
      </c>
      <c r="N8">
        <v>0.44937361118844299</v>
      </c>
      <c r="O8">
        <v>24.563749930401201</v>
      </c>
      <c r="P8">
        <f t="shared" si="3"/>
        <v>2.0469791608667669</v>
      </c>
      <c r="Q8">
        <f t="shared" si="4"/>
        <v>449.37361118844296</v>
      </c>
      <c r="S8">
        <f t="shared" si="5"/>
        <v>1</v>
      </c>
      <c r="T8">
        <f>N8/0.499649</f>
        <v>0.89937858614435928</v>
      </c>
      <c r="U8">
        <f t="shared" si="7"/>
        <v>0.93796370491039172</v>
      </c>
      <c r="X8" s="1">
        <v>5</v>
      </c>
      <c r="Y8" s="1">
        <v>75</v>
      </c>
      <c r="Z8" s="1">
        <v>0.44971613949716099</v>
      </c>
      <c r="AA8" s="1">
        <v>24.399293286218999</v>
      </c>
    </row>
    <row r="9" spans="1:27">
      <c r="A9" s="5">
        <v>7</v>
      </c>
      <c r="B9">
        <v>75</v>
      </c>
      <c r="C9">
        <v>0.49835707444640298</v>
      </c>
      <c r="D9">
        <v>96.153551001452001</v>
      </c>
      <c r="F9">
        <f t="shared" si="0"/>
        <v>1</v>
      </c>
      <c r="G9">
        <f t="shared" si="1"/>
        <v>0.99670218846654446</v>
      </c>
      <c r="H9">
        <f t="shared" si="2"/>
        <v>0.97679698612574872</v>
      </c>
      <c r="K9">
        <v>7</v>
      </c>
      <c r="L9">
        <v>75</v>
      </c>
      <c r="N9">
        <v>0.49964922226552799</v>
      </c>
      <c r="O9">
        <v>25.072453571301999</v>
      </c>
      <c r="P9">
        <f t="shared" si="3"/>
        <v>2.0893711309418332</v>
      </c>
      <c r="Q9">
        <f t="shared" si="4"/>
        <v>499.64922226552801</v>
      </c>
      <c r="S9">
        <f t="shared" si="5"/>
        <v>1</v>
      </c>
      <c r="T9">
        <f t="shared" si="6"/>
        <v>1.0000004448433359</v>
      </c>
      <c r="U9">
        <f t="shared" si="7"/>
        <v>0.95738848952481981</v>
      </c>
      <c r="X9" s="1">
        <v>5</v>
      </c>
      <c r="Y9" s="1">
        <v>75</v>
      </c>
      <c r="Z9" s="1">
        <v>0.498783454987834</v>
      </c>
      <c r="AA9" s="1">
        <v>24.752650176678401</v>
      </c>
    </row>
    <row r="10" spans="1:27">
      <c r="A10" s="5">
        <v>7</v>
      </c>
      <c r="B10">
        <v>55</v>
      </c>
      <c r="C10">
        <v>0.14847771511262201</v>
      </c>
      <c r="D10">
        <v>87.055022309304505</v>
      </c>
      <c r="F10">
        <f t="shared" si="0"/>
        <v>0.73333333333333328</v>
      </c>
      <c r="G10">
        <f t="shared" si="1"/>
        <v>0.29695186680284241</v>
      </c>
      <c r="H10">
        <f t="shared" si="2"/>
        <v>0.88436758219729561</v>
      </c>
      <c r="K10">
        <v>7</v>
      </c>
      <c r="L10">
        <v>65</v>
      </c>
      <c r="N10">
        <v>0.149390821062861</v>
      </c>
      <c r="O10">
        <v>21.6709968060497</v>
      </c>
      <c r="P10">
        <f t="shared" si="3"/>
        <v>1.8059164005041417</v>
      </c>
      <c r="Q10">
        <f t="shared" si="4"/>
        <v>149.39082106286099</v>
      </c>
      <c r="S10">
        <f t="shared" si="5"/>
        <v>0.8666666666666667</v>
      </c>
      <c r="T10">
        <f t="shared" si="6"/>
        <v>0.29899153418271829</v>
      </c>
      <c r="U10">
        <f t="shared" si="7"/>
        <v>0.82750429030164152</v>
      </c>
      <c r="X10" s="2">
        <v>7</v>
      </c>
      <c r="Y10" s="2">
        <v>75</v>
      </c>
      <c r="Z10" s="2">
        <v>0.149229521</v>
      </c>
      <c r="AA10" s="2">
        <v>21.388692580000001</v>
      </c>
    </row>
    <row r="11" spans="1:27">
      <c r="A11" s="5">
        <v>7</v>
      </c>
      <c r="B11">
        <v>55</v>
      </c>
      <c r="C11">
        <v>0.19821545496131601</v>
      </c>
      <c r="D11">
        <v>90.312170804460393</v>
      </c>
      <c r="F11">
        <f t="shared" si="0"/>
        <v>0.73333333333333328</v>
      </c>
      <c r="G11">
        <f t="shared" si="1"/>
        <v>0.39642615280879834</v>
      </c>
      <c r="H11">
        <f t="shared" si="2"/>
        <v>0.91745604123282554</v>
      </c>
      <c r="K11">
        <v>7</v>
      </c>
      <c r="L11">
        <v>65</v>
      </c>
      <c r="N11">
        <v>0.198823148293438</v>
      </c>
      <c r="O11">
        <v>22.324603540172401</v>
      </c>
      <c r="P11">
        <f t="shared" si="3"/>
        <v>1.8603836283477</v>
      </c>
      <c r="Q11">
        <f t="shared" si="4"/>
        <v>198.82314829343801</v>
      </c>
      <c r="S11">
        <f t="shared" si="5"/>
        <v>0.8666666666666667</v>
      </c>
      <c r="T11">
        <f t="shared" si="6"/>
        <v>0.39792564038642725</v>
      </c>
      <c r="U11">
        <f t="shared" si="7"/>
        <v>0.85246218132516793</v>
      </c>
      <c r="X11" s="2">
        <v>7</v>
      </c>
      <c r="Y11" s="2">
        <v>75</v>
      </c>
      <c r="Z11" s="2">
        <v>0.19951338199999999</v>
      </c>
      <c r="AA11" s="2">
        <v>21.897526500000001</v>
      </c>
    </row>
    <row r="12" spans="1:27">
      <c r="A12" s="5">
        <v>7</v>
      </c>
      <c r="B12">
        <v>55</v>
      </c>
      <c r="C12">
        <v>0.249617547660786</v>
      </c>
      <c r="D12">
        <v>92.127411692128504</v>
      </c>
      <c r="F12">
        <f t="shared" si="0"/>
        <v>0.73333333333333328</v>
      </c>
      <c r="G12">
        <f t="shared" si="1"/>
        <v>0.49922910457231717</v>
      </c>
      <c r="H12">
        <f t="shared" si="2"/>
        <v>0.93589656485050932</v>
      </c>
      <c r="K12">
        <v>7</v>
      </c>
      <c r="L12">
        <v>65</v>
      </c>
      <c r="N12">
        <v>0.249513314874899</v>
      </c>
      <c r="O12">
        <v>22.963753979783402</v>
      </c>
      <c r="P12">
        <f t="shared" si="3"/>
        <v>1.9136461649819501</v>
      </c>
      <c r="Q12">
        <f t="shared" si="4"/>
        <v>249.51331487489901</v>
      </c>
      <c r="S12">
        <f t="shared" si="5"/>
        <v>0.8666666666666667</v>
      </c>
      <c r="T12">
        <f t="shared" si="6"/>
        <v>0.49937719253896035</v>
      </c>
      <c r="U12">
        <f t="shared" si="7"/>
        <v>0.87686806055904953</v>
      </c>
      <c r="X12" s="2">
        <v>7</v>
      </c>
      <c r="Y12" s="2">
        <v>75</v>
      </c>
      <c r="Z12" s="2">
        <v>0.24939172700000001</v>
      </c>
      <c r="AA12" s="2">
        <v>22.448763249999999</v>
      </c>
    </row>
    <row r="13" spans="1:27">
      <c r="A13" s="5">
        <v>7</v>
      </c>
      <c r="B13">
        <v>55</v>
      </c>
      <c r="C13">
        <v>0.29894468069838998</v>
      </c>
      <c r="D13">
        <v>94.422923022185699</v>
      </c>
      <c r="F13">
        <f t="shared" si="0"/>
        <v>0.73333333333333328</v>
      </c>
      <c r="G13">
        <f t="shared" si="1"/>
        <v>0.59788218681053829</v>
      </c>
      <c r="H13">
        <f t="shared" si="2"/>
        <v>0.95921602133926154</v>
      </c>
      <c r="K13">
        <v>7</v>
      </c>
      <c r="L13">
        <v>65</v>
      </c>
      <c r="N13">
        <v>0.29894665445103002</v>
      </c>
      <c r="O13">
        <v>23.588375236002999</v>
      </c>
      <c r="P13">
        <f t="shared" si="3"/>
        <v>1.9656979363335834</v>
      </c>
      <c r="Q13">
        <f t="shared" si="4"/>
        <v>298.94665445103004</v>
      </c>
      <c r="S13">
        <f t="shared" si="5"/>
        <v>0.8666666666666667</v>
      </c>
      <c r="T13">
        <f t="shared" si="6"/>
        <v>0.598313324856109</v>
      </c>
      <c r="U13">
        <f t="shared" si="7"/>
        <v>0.90071914475057269</v>
      </c>
      <c r="X13" s="2">
        <v>7</v>
      </c>
      <c r="Y13" s="2">
        <v>75</v>
      </c>
      <c r="Z13" s="2">
        <v>0.29927007300000003</v>
      </c>
      <c r="AA13" s="2">
        <v>22.9434629</v>
      </c>
    </row>
    <row r="14" spans="1:27">
      <c r="A14" s="5">
        <v>7</v>
      </c>
      <c r="B14">
        <v>55</v>
      </c>
      <c r="C14">
        <v>0.34952107499254997</v>
      </c>
      <c r="D14">
        <v>95.396619270814099</v>
      </c>
      <c r="F14">
        <f t="shared" si="0"/>
        <v>0.73333333333333328</v>
      </c>
      <c r="G14">
        <f t="shared" si="1"/>
        <v>0.69903376157996111</v>
      </c>
      <c r="H14">
        <f t="shared" si="2"/>
        <v>0.96910752873712991</v>
      </c>
      <c r="K14">
        <v>7</v>
      </c>
      <c r="L14">
        <v>65</v>
      </c>
      <c r="N14">
        <v>0.34963935189637602</v>
      </c>
      <c r="O14">
        <v>24.155061980856502</v>
      </c>
      <c r="P14">
        <f t="shared" si="3"/>
        <v>2.012921831738042</v>
      </c>
      <c r="Q14">
        <f t="shared" si="4"/>
        <v>349.63935189637601</v>
      </c>
      <c r="S14">
        <f t="shared" si="5"/>
        <v>0.8666666666666667</v>
      </c>
      <c r="T14">
        <f t="shared" si="6"/>
        <v>0.69976994229224121</v>
      </c>
      <c r="U14">
        <f t="shared" si="7"/>
        <v>0.92235800690445546</v>
      </c>
      <c r="X14" s="2">
        <v>7</v>
      </c>
      <c r="Y14" s="2">
        <v>75</v>
      </c>
      <c r="Z14" s="2">
        <v>0.34914841800000002</v>
      </c>
      <c r="AA14" s="2">
        <v>23.522968200000001</v>
      </c>
    </row>
    <row r="15" spans="1:27">
      <c r="A15" s="5">
        <v>7</v>
      </c>
      <c r="B15">
        <v>55</v>
      </c>
      <c r="C15">
        <v>0.39884820803015297</v>
      </c>
      <c r="D15">
        <v>97.692130600871195</v>
      </c>
      <c r="F15">
        <f t="shared" si="0"/>
        <v>0.73333333333333328</v>
      </c>
      <c r="G15">
        <f t="shared" si="1"/>
        <v>0.79768684381818022</v>
      </c>
      <c r="H15">
        <f t="shared" si="2"/>
        <v>0.99242698522588113</v>
      </c>
      <c r="K15">
        <v>7</v>
      </c>
      <c r="L15">
        <v>65</v>
      </c>
      <c r="N15">
        <v>0.39907370381806101</v>
      </c>
      <c r="O15">
        <v>24.7506977591731</v>
      </c>
      <c r="P15">
        <f t="shared" si="3"/>
        <v>2.0625581465977585</v>
      </c>
      <c r="Q15">
        <f t="shared" si="4"/>
        <v>399.07370381806101</v>
      </c>
      <c r="S15">
        <f t="shared" si="5"/>
        <v>0.8666666666666667</v>
      </c>
      <c r="T15">
        <f t="shared" si="6"/>
        <v>0.79870810072282938</v>
      </c>
      <c r="U15">
        <f t="shared" si="7"/>
        <v>0.94510228426397902</v>
      </c>
      <c r="X15" s="2">
        <v>7</v>
      </c>
      <c r="Y15" s="2">
        <v>75</v>
      </c>
      <c r="Z15" s="2">
        <v>0.399432279</v>
      </c>
      <c r="AA15" s="2">
        <v>24.031802119999998</v>
      </c>
    </row>
    <row r="16" spans="1:27">
      <c r="A16" s="5">
        <v>7</v>
      </c>
      <c r="B16">
        <v>55</v>
      </c>
      <c r="C16">
        <v>0.44901549044093297</v>
      </c>
      <c r="D16">
        <v>97.343613120681496</v>
      </c>
      <c r="F16">
        <f t="shared" si="0"/>
        <v>0.73333333333333328</v>
      </c>
      <c r="G16">
        <f>C16/0.500006</f>
        <v>0.89802020463941035</v>
      </c>
      <c r="H16">
        <f>D16/98.4376</f>
        <v>0.98888649378572302</v>
      </c>
      <c r="K16">
        <v>7</v>
      </c>
      <c r="L16">
        <v>65</v>
      </c>
      <c r="N16">
        <v>0.44976893212729202</v>
      </c>
      <c r="O16">
        <v>25.244920809269001</v>
      </c>
      <c r="P16">
        <f t="shared" si="3"/>
        <v>2.1037434007724167</v>
      </c>
      <c r="Q16">
        <f t="shared" si="4"/>
        <v>449.76893212729203</v>
      </c>
      <c r="S16">
        <f t="shared" si="5"/>
        <v>0.8666666666666667</v>
      </c>
      <c r="T16">
        <f t="shared" si="6"/>
        <v>0.90016978344256071</v>
      </c>
      <c r="U16">
        <f t="shared" si="7"/>
        <v>0.96397412933785909</v>
      </c>
      <c r="X16" s="2">
        <v>7</v>
      </c>
      <c r="Y16" s="2">
        <v>75</v>
      </c>
      <c r="Z16" s="2">
        <v>0.44890510900000002</v>
      </c>
      <c r="AA16" s="2">
        <v>24.568904589999999</v>
      </c>
    </row>
    <row r="17" spans="1:35">
      <c r="A17" s="5">
        <v>7</v>
      </c>
      <c r="B17">
        <v>55</v>
      </c>
      <c r="C17">
        <v>0.50000597971084004</v>
      </c>
      <c r="D17">
        <v>98.437601219063595</v>
      </c>
      <c r="F17">
        <f t="shared" si="0"/>
        <v>0.73333333333333328</v>
      </c>
      <c r="G17">
        <f t="shared" si="1"/>
        <v>0.99999995942216713</v>
      </c>
      <c r="H17">
        <f t="shared" si="2"/>
        <v>1.0000000123841255</v>
      </c>
      <c r="K17">
        <v>7</v>
      </c>
      <c r="L17">
        <v>65</v>
      </c>
      <c r="N17">
        <v>0.49920935812230099</v>
      </c>
      <c r="O17">
        <v>25.6666437201674</v>
      </c>
      <c r="P17">
        <f t="shared" si="3"/>
        <v>2.1388869766806167</v>
      </c>
      <c r="Q17">
        <f t="shared" si="4"/>
        <v>499.20935812230101</v>
      </c>
      <c r="S17">
        <f t="shared" si="5"/>
        <v>0.8666666666666667</v>
      </c>
      <c r="T17">
        <f t="shared" si="6"/>
        <v>0.9991200985537867</v>
      </c>
      <c r="U17">
        <f t="shared" si="7"/>
        <v>0.98007756570537774</v>
      </c>
      <c r="X17" s="2">
        <v>7</v>
      </c>
      <c r="Y17" s="2">
        <v>75</v>
      </c>
      <c r="Z17" s="2">
        <v>0.49918897000000001</v>
      </c>
      <c r="AA17" s="2">
        <v>25.04946996</v>
      </c>
    </row>
    <row r="18" spans="1:35">
      <c r="K18">
        <v>7</v>
      </c>
      <c r="L18">
        <v>55</v>
      </c>
      <c r="N18">
        <v>0.148952981610743</v>
      </c>
      <c r="O18">
        <v>22.207215999109099</v>
      </c>
      <c r="P18">
        <f t="shared" si="3"/>
        <v>1.8506013332590916</v>
      </c>
      <c r="Q18">
        <f t="shared" si="4"/>
        <v>148.952981610743</v>
      </c>
      <c r="S18">
        <f t="shared" si="5"/>
        <v>0.73333333333333328</v>
      </c>
      <c r="T18">
        <f t="shared" si="6"/>
        <v>0.29811524012005025</v>
      </c>
      <c r="U18">
        <f t="shared" si="7"/>
        <v>0.84797975281820026</v>
      </c>
    </row>
    <row r="19" spans="1:35">
      <c r="A19" t="s">
        <v>8</v>
      </c>
      <c r="B19">
        <v>75</v>
      </c>
      <c r="C19">
        <f>MAX(C2:C17)</f>
        <v>0.50000597971084004</v>
      </c>
      <c r="D19" s="1">
        <f>MAX(D2:D17)</f>
        <v>98.437601219063595</v>
      </c>
      <c r="K19">
        <v>7</v>
      </c>
      <c r="L19">
        <v>55</v>
      </c>
      <c r="N19">
        <v>0.19880087669124899</v>
      </c>
      <c r="O19">
        <v>22.962284054038999</v>
      </c>
      <c r="P19">
        <f t="shared" si="3"/>
        <v>1.9135236711699166</v>
      </c>
      <c r="Q19">
        <f t="shared" si="4"/>
        <v>198.80087669124899</v>
      </c>
      <c r="S19">
        <f t="shared" si="5"/>
        <v>0.73333333333333328</v>
      </c>
      <c r="T19">
        <f>N19/0.499649</f>
        <v>0.39788106589075328</v>
      </c>
      <c r="U19">
        <f t="shared" si="7"/>
        <v>0.87681193162918059</v>
      </c>
    </row>
    <row r="20" spans="1:35">
      <c r="K20">
        <v>7</v>
      </c>
      <c r="L20">
        <v>55</v>
      </c>
      <c r="N20">
        <v>0.24906990752223299</v>
      </c>
      <c r="O20">
        <v>23.6593933013094</v>
      </c>
      <c r="P20">
        <f t="shared" si="3"/>
        <v>1.9716161084424499</v>
      </c>
      <c r="Q20">
        <f t="shared" si="4"/>
        <v>249.069907522233</v>
      </c>
      <c r="S20">
        <f t="shared" si="5"/>
        <v>0.73333333333333328</v>
      </c>
      <c r="T20">
        <f t="shared" si="6"/>
        <v>0.49848975485237235</v>
      </c>
      <c r="U20">
        <f t="shared" si="7"/>
        <v>0.90343096065160966</v>
      </c>
    </row>
    <row r="21" spans="1:35">
      <c r="K21">
        <v>7</v>
      </c>
      <c r="L21">
        <v>55</v>
      </c>
      <c r="N21">
        <v>0.29933995069877101</v>
      </c>
      <c r="O21">
        <v>24.327517070676901</v>
      </c>
      <c r="P21">
        <f t="shared" si="3"/>
        <v>2.0272930892230749</v>
      </c>
      <c r="Q21">
        <f t="shared" si="4"/>
        <v>299.33995069877102</v>
      </c>
      <c r="S21">
        <f t="shared" si="5"/>
        <v>0.73333333333333328</v>
      </c>
      <c r="T21">
        <f t="shared" si="6"/>
        <v>0.59910046992743105</v>
      </c>
      <c r="U21">
        <f t="shared" si="7"/>
        <v>0.92894318284204291</v>
      </c>
    </row>
    <row r="22" spans="1:35">
      <c r="K22">
        <v>7</v>
      </c>
      <c r="L22">
        <v>55</v>
      </c>
      <c r="N22">
        <v>0.34961252473919402</v>
      </c>
      <c r="O22">
        <v>24.923177145286701</v>
      </c>
      <c r="P22">
        <f t="shared" si="3"/>
        <v>2.0769314287738916</v>
      </c>
      <c r="Q22">
        <f t="shared" si="4"/>
        <v>349.61252473919404</v>
      </c>
      <c r="S22">
        <f t="shared" si="5"/>
        <v>0.73333333333333328</v>
      </c>
      <c r="T22">
        <f t="shared" si="6"/>
        <v>0.69971625028608886</v>
      </c>
      <c r="U22">
        <f t="shared" si="7"/>
        <v>0.95168838795246979</v>
      </c>
    </row>
    <row r="23" spans="1:35">
      <c r="K23">
        <v>7</v>
      </c>
      <c r="L23">
        <v>55</v>
      </c>
      <c r="N23">
        <v>0.399050926043095</v>
      </c>
      <c r="O23">
        <v>25.402871011991198</v>
      </c>
      <c r="P23">
        <f t="shared" si="3"/>
        <v>2.1169059176659331</v>
      </c>
      <c r="Q23">
        <f t="shared" si="4"/>
        <v>399.05092604309499</v>
      </c>
      <c r="S23">
        <f t="shared" si="5"/>
        <v>0.73333333333333328</v>
      </c>
      <c r="T23">
        <f t="shared" si="6"/>
        <v>0.79866251317043568</v>
      </c>
      <c r="U23">
        <f t="shared" si="7"/>
        <v>0.9700054379839913</v>
      </c>
    </row>
    <row r="24" spans="1:35">
      <c r="K24">
        <v>7</v>
      </c>
      <c r="L24">
        <v>55</v>
      </c>
      <c r="N24">
        <v>0.44891603099802002</v>
      </c>
      <c r="O24">
        <v>25.6651859425696</v>
      </c>
      <c r="P24">
        <f t="shared" si="3"/>
        <v>2.1387654952141335</v>
      </c>
      <c r="Q24">
        <f t="shared" si="4"/>
        <v>448.91603099802001</v>
      </c>
      <c r="S24">
        <f>L24/75</f>
        <v>0.73333333333333328</v>
      </c>
      <c r="T24">
        <f t="shared" si="6"/>
        <v>0.89846278286961445</v>
      </c>
      <c r="U24">
        <f t="shared" si="7"/>
        <v>0.98002190065096062</v>
      </c>
    </row>
    <row r="25" spans="1:35">
      <c r="K25">
        <v>7</v>
      </c>
      <c r="L25">
        <v>55</v>
      </c>
      <c r="N25">
        <v>0.499191135902329</v>
      </c>
      <c r="O25">
        <v>26.188382322421901</v>
      </c>
      <c r="P25">
        <f t="shared" si="3"/>
        <v>2.1823651935351585</v>
      </c>
      <c r="Q25">
        <f t="shared" si="4"/>
        <v>499.19113590232899</v>
      </c>
      <c r="S25">
        <f t="shared" si="5"/>
        <v>0.73333333333333328</v>
      </c>
      <c r="T25">
        <f t="shared" si="6"/>
        <v>0.99908362851187327</v>
      </c>
      <c r="U25">
        <f t="shared" si="7"/>
        <v>1.0000000886813887</v>
      </c>
    </row>
    <row r="26" spans="1:35">
      <c r="K26" s="2">
        <v>7</v>
      </c>
      <c r="L26" s="2">
        <v>75</v>
      </c>
      <c r="M26" s="2"/>
      <c r="N26" s="2">
        <v>0.149229521</v>
      </c>
      <c r="O26" s="2">
        <v>21.388692580000001</v>
      </c>
      <c r="P26">
        <f t="shared" si="3"/>
        <v>1.7823910483333334</v>
      </c>
      <c r="Q26">
        <f t="shared" si="4"/>
        <v>149.22952100000001</v>
      </c>
      <c r="R26" s="2"/>
      <c r="S26">
        <f t="shared" si="5"/>
        <v>1</v>
      </c>
      <c r="T26">
        <f t="shared" si="6"/>
        <v>0.2986687074326177</v>
      </c>
      <c r="U26">
        <f t="shared" si="7"/>
        <v>0.81672453889854968</v>
      </c>
      <c r="V26" s="2"/>
    </row>
    <row r="27" spans="1:35">
      <c r="K27" s="2">
        <v>7</v>
      </c>
      <c r="L27" s="2">
        <v>75</v>
      </c>
      <c r="M27" s="2"/>
      <c r="N27" s="2">
        <v>0.19951338199999999</v>
      </c>
      <c r="O27" s="2">
        <v>21.897526500000001</v>
      </c>
      <c r="P27">
        <f t="shared" si="3"/>
        <v>1.8247938750000001</v>
      </c>
      <c r="Q27">
        <f t="shared" si="4"/>
        <v>199.51338199999998</v>
      </c>
      <c r="R27" s="2"/>
      <c r="S27">
        <f t="shared" si="5"/>
        <v>1</v>
      </c>
      <c r="T27">
        <f t="shared" si="6"/>
        <v>0.39930707756845302</v>
      </c>
      <c r="U27">
        <f t="shared" si="7"/>
        <v>0.83615429820401277</v>
      </c>
      <c r="V27" s="2"/>
    </row>
    <row r="28" spans="1:35">
      <c r="K28" s="2">
        <v>7</v>
      </c>
      <c r="L28" s="2">
        <v>75</v>
      </c>
      <c r="M28" s="2"/>
      <c r="N28" s="2">
        <v>0.24939172700000001</v>
      </c>
      <c r="O28" s="2">
        <v>22.448763249999999</v>
      </c>
      <c r="P28">
        <f t="shared" si="3"/>
        <v>1.8707302708333333</v>
      </c>
      <c r="Q28">
        <f t="shared" si="4"/>
        <v>249.391727</v>
      </c>
      <c r="R28" s="2"/>
      <c r="S28">
        <f t="shared" si="5"/>
        <v>1</v>
      </c>
      <c r="T28">
        <f t="shared" si="6"/>
        <v>0.49913384595986382</v>
      </c>
      <c r="U28">
        <f t="shared" si="7"/>
        <v>0.85720320424554708</v>
      </c>
      <c r="V28" s="2"/>
    </row>
    <row r="29" spans="1:35">
      <c r="K29" s="2">
        <v>7</v>
      </c>
      <c r="L29" s="2">
        <v>75</v>
      </c>
      <c r="M29" s="2"/>
      <c r="N29" s="2">
        <v>0.29927007300000003</v>
      </c>
      <c r="O29" s="2">
        <v>22.9434629</v>
      </c>
      <c r="P29">
        <f t="shared" si="3"/>
        <v>1.9119552416666667</v>
      </c>
      <c r="Q29">
        <f t="shared" si="4"/>
        <v>299.27007300000002</v>
      </c>
      <c r="R29" s="2"/>
      <c r="S29">
        <f t="shared" si="5"/>
        <v>1</v>
      </c>
      <c r="T29">
        <f>N29/0.499649</f>
        <v>0.59896061635267961</v>
      </c>
      <c r="U29">
        <f t="shared" si="7"/>
        <v>0.87609324822688539</v>
      </c>
      <c r="V29" s="2"/>
    </row>
    <row r="30" spans="1:35">
      <c r="K30" s="2">
        <v>7</v>
      </c>
      <c r="L30" s="2">
        <v>75</v>
      </c>
      <c r="M30" s="2"/>
      <c r="N30" s="2">
        <v>0.34914841800000002</v>
      </c>
      <c r="O30" s="2">
        <v>23.522968200000001</v>
      </c>
      <c r="P30">
        <f t="shared" si="3"/>
        <v>1.9602473500000002</v>
      </c>
      <c r="Q30">
        <f t="shared" si="4"/>
        <v>349.14841799999999</v>
      </c>
      <c r="R30" s="2"/>
      <c r="S30">
        <f t="shared" si="5"/>
        <v>1</v>
      </c>
      <c r="T30">
        <f t="shared" si="6"/>
        <v>0.69878738474409041</v>
      </c>
      <c r="U30">
        <f t="shared" si="7"/>
        <v>0.89822158529851803</v>
      </c>
      <c r="V30" s="2"/>
      <c r="AI30" t="s">
        <v>7</v>
      </c>
    </row>
    <row r="31" spans="1:35">
      <c r="K31" s="2">
        <v>7</v>
      </c>
      <c r="L31" s="2">
        <v>75</v>
      </c>
      <c r="M31" s="2"/>
      <c r="N31" s="2">
        <v>0.399432279</v>
      </c>
      <c r="O31" s="2">
        <v>24.031802119999998</v>
      </c>
      <c r="P31">
        <f t="shared" si="3"/>
        <v>2.0026501766666667</v>
      </c>
      <c r="Q31">
        <f t="shared" si="4"/>
        <v>399.43227899999999</v>
      </c>
      <c r="R31" s="2"/>
      <c r="S31">
        <f t="shared" si="5"/>
        <v>1</v>
      </c>
      <c r="T31">
        <f t="shared" si="6"/>
        <v>0.79942575487992573</v>
      </c>
      <c r="U31">
        <f t="shared" si="7"/>
        <v>0.9176513446039809</v>
      </c>
      <c r="V31" s="2"/>
    </row>
    <row r="32" spans="1:35">
      <c r="K32" s="2">
        <v>7</v>
      </c>
      <c r="L32" s="2">
        <v>75</v>
      </c>
      <c r="M32" s="2"/>
      <c r="N32" s="2">
        <v>0.44890510900000002</v>
      </c>
      <c r="O32" s="2">
        <v>24.568904589999999</v>
      </c>
      <c r="P32">
        <f t="shared" si="3"/>
        <v>2.0474087158333334</v>
      </c>
      <c r="Q32">
        <f t="shared" si="4"/>
        <v>448.90510900000004</v>
      </c>
      <c r="R32" s="2"/>
      <c r="S32">
        <f t="shared" si="5"/>
        <v>1</v>
      </c>
      <c r="T32">
        <f t="shared" si="6"/>
        <v>0.89844092352831695</v>
      </c>
      <c r="U32">
        <f>P32/2.182365</f>
        <v>0.93816053493954199</v>
      </c>
      <c r="V32" s="2"/>
    </row>
    <row r="33" spans="11:22">
      <c r="K33" s="2">
        <v>7</v>
      </c>
      <c r="L33" s="2">
        <v>75</v>
      </c>
      <c r="M33" s="2"/>
      <c r="N33" s="2">
        <v>0.49918897000000001</v>
      </c>
      <c r="O33" s="2">
        <v>25.04946996</v>
      </c>
      <c r="P33">
        <f t="shared" si="3"/>
        <v>2.0874558300000001</v>
      </c>
      <c r="Q33">
        <f t="shared" si="4"/>
        <v>499.18896999999998</v>
      </c>
      <c r="R33" s="2"/>
      <c r="S33">
        <f t="shared" si="5"/>
        <v>1</v>
      </c>
      <c r="T33">
        <f>N33/0.499649</f>
        <v>0.99907929366415227</v>
      </c>
      <c r="U33">
        <f t="shared" si="7"/>
        <v>0.95651086321490686</v>
      </c>
      <c r="V33" s="2"/>
    </row>
    <row r="35" spans="11:22">
      <c r="K35" t="s">
        <v>12</v>
      </c>
      <c r="L35">
        <f>MAX(L2:L33)</f>
        <v>75</v>
      </c>
      <c r="N35" s="1">
        <f>MAX(N2:N33)</f>
        <v>0.49964922226552799</v>
      </c>
      <c r="O35">
        <f t="shared" ref="O35:U35" si="8">MAX(O2:O33)</f>
        <v>26.188382322421901</v>
      </c>
      <c r="P35" s="1">
        <f t="shared" si="8"/>
        <v>2.1823651935351585</v>
      </c>
      <c r="Q35">
        <f t="shared" si="8"/>
        <v>499.64922226552801</v>
      </c>
      <c r="R35">
        <f t="shared" si="8"/>
        <v>0</v>
      </c>
      <c r="S35">
        <f t="shared" si="8"/>
        <v>1</v>
      </c>
      <c r="T35">
        <f>MAX(T2:T33)</f>
        <v>1.0000004448433359</v>
      </c>
      <c r="U35">
        <f t="shared" si="8"/>
        <v>1.0000000886813887</v>
      </c>
    </row>
    <row r="36" spans="11:22">
      <c r="K36" t="s">
        <v>18</v>
      </c>
      <c r="L36">
        <f>MIN(L2:L33)</f>
        <v>55</v>
      </c>
      <c r="N36">
        <f t="shared" ref="N36:U36" si="9">MIN(N2:N33)</f>
        <v>0.148952981610743</v>
      </c>
      <c r="O36">
        <f t="shared" si="9"/>
        <v>21.388692580000001</v>
      </c>
      <c r="P36">
        <f t="shared" si="9"/>
        <v>1.7823910483333334</v>
      </c>
      <c r="Q36">
        <f t="shared" si="9"/>
        <v>148.952981610743</v>
      </c>
      <c r="R36">
        <f t="shared" si="9"/>
        <v>0</v>
      </c>
      <c r="S36">
        <f t="shared" si="9"/>
        <v>0.73333333333333328</v>
      </c>
      <c r="T36">
        <f t="shared" si="9"/>
        <v>0.29811524012005025</v>
      </c>
      <c r="U36">
        <f t="shared" si="9"/>
        <v>0.81672453889854968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90015-DAEE-4949-9E2E-E291D626CE35}">
  <dimension ref="B1:S55"/>
  <sheetViews>
    <sheetView workbookViewId="0">
      <selection activeCell="S2" sqref="S2:S55"/>
    </sheetView>
  </sheetViews>
  <sheetFormatPr defaultColWidth="8.81640625" defaultRowHeight="14.5"/>
  <cols>
    <col min="19" max="19" width="9.1796875" bestFit="1" customWidth="1"/>
  </cols>
  <sheetData>
    <row r="1" spans="2:19">
      <c r="B1" t="s">
        <v>6</v>
      </c>
      <c r="C1" t="s">
        <v>2</v>
      </c>
      <c r="D1" t="s">
        <v>3</v>
      </c>
      <c r="E1" t="s">
        <v>25</v>
      </c>
      <c r="G1" t="s">
        <v>6</v>
      </c>
      <c r="H1" t="s">
        <v>2</v>
      </c>
      <c r="I1" t="s">
        <v>3</v>
      </c>
      <c r="J1" t="s">
        <v>25</v>
      </c>
      <c r="L1" t="s">
        <v>26</v>
      </c>
      <c r="M1" t="s">
        <v>27</v>
      </c>
      <c r="N1" t="s">
        <v>28</v>
      </c>
      <c r="O1" t="s">
        <v>29</v>
      </c>
    </row>
    <row r="2" spans="2:19">
      <c r="B2">
        <v>5</v>
      </c>
      <c r="C2">
        <v>75</v>
      </c>
      <c r="D2" s="7">
        <v>9.8700989872660599E-2</v>
      </c>
      <c r="E2" s="7">
        <v>1.4362069475813399</v>
      </c>
      <c r="F2" s="7"/>
      <c r="G2" s="7">
        <v>7</v>
      </c>
      <c r="H2">
        <v>55</v>
      </c>
      <c r="I2" s="7">
        <v>9.9200934253200299E-2</v>
      </c>
      <c r="J2" s="7">
        <v>1.34792553900443</v>
      </c>
      <c r="L2">
        <v>5</v>
      </c>
      <c r="M2">
        <v>75</v>
      </c>
      <c r="N2" s="7">
        <v>9.8700989872660599E-2</v>
      </c>
      <c r="O2" s="7">
        <v>1.4362069475813399</v>
      </c>
      <c r="P2" s="7">
        <f>L2/MAX(L2:L55)</f>
        <v>0.55555555555555558</v>
      </c>
      <c r="Q2" s="7">
        <f t="shared" ref="Q2:R17" si="0">M2/MAX(M2:M55)</f>
        <v>1</v>
      </c>
      <c r="R2" s="7">
        <f t="shared" si="0"/>
        <v>0.1972477765914161</v>
      </c>
      <c r="S2">
        <f>0.497*Q2-0.0731*P2-0.17*LOG(R2*R2)-0.129*Q2/P2+0.0731*R2^4+0.154</f>
        <v>0.61799542296358989</v>
      </c>
    </row>
    <row r="3" spans="2:19">
      <c r="B3">
        <v>5</v>
      </c>
      <c r="C3">
        <v>75</v>
      </c>
      <c r="D3" s="7">
        <v>0.14953006818578399</v>
      </c>
      <c r="E3" s="7">
        <v>1.2243797093964901</v>
      </c>
      <c r="F3" s="7"/>
      <c r="G3" s="7">
        <v>7</v>
      </c>
      <c r="H3">
        <v>55</v>
      </c>
      <c r="I3" s="7">
        <v>0.149032531728854</v>
      </c>
      <c r="J3" s="7">
        <v>1.1055503017917001</v>
      </c>
      <c r="L3">
        <v>5</v>
      </c>
      <c r="M3">
        <v>75</v>
      </c>
      <c r="N3" s="7">
        <v>0.14953006818578399</v>
      </c>
      <c r="O3" s="7">
        <v>1.2243797093964901</v>
      </c>
      <c r="P3" s="7">
        <f t="shared" ref="P3:R55" si="1">L3/MAX(L3:L56)</f>
        <v>0.55555555555555558</v>
      </c>
      <c r="Q3" s="7">
        <f t="shared" si="0"/>
        <v>1</v>
      </c>
      <c r="R3" s="7">
        <f t="shared" si="0"/>
        <v>0.29882652161099016</v>
      </c>
      <c r="S3">
        <f t="shared" ref="S3:S55" si="2">0.497*Q3-0.0731*P3-0.17*LOG(R3*R3)-0.129*Q3/P3+0.0731*R3^4+0.154</f>
        <v>0.55712928126733852</v>
      </c>
    </row>
    <row r="4" spans="2:19">
      <c r="B4">
        <v>5</v>
      </c>
      <c r="C4">
        <v>75</v>
      </c>
      <c r="D4" s="7">
        <v>0.19992131231865301</v>
      </c>
      <c r="E4" s="7">
        <v>1.0651084940851501</v>
      </c>
      <c r="F4" s="7"/>
      <c r="G4" s="7">
        <v>7</v>
      </c>
      <c r="H4">
        <v>55</v>
      </c>
      <c r="I4" s="7">
        <v>0.19918199954725899</v>
      </c>
      <c r="J4" s="7">
        <v>0.96564842376506499</v>
      </c>
      <c r="L4">
        <v>5</v>
      </c>
      <c r="M4">
        <v>75</v>
      </c>
      <c r="N4" s="7">
        <v>0.19992131231865301</v>
      </c>
      <c r="O4" s="7">
        <v>1.0651084940851501</v>
      </c>
      <c r="P4" s="7">
        <f t="shared" si="1"/>
        <v>0.55555555555555558</v>
      </c>
      <c r="Q4" s="7">
        <f t="shared" si="0"/>
        <v>1</v>
      </c>
      <c r="R4" s="7">
        <f t="shared" si="0"/>
        <v>0.39953028230991744</v>
      </c>
      <c r="S4">
        <f t="shared" si="2"/>
        <v>0.51552457551927366</v>
      </c>
    </row>
    <row r="5" spans="2:19">
      <c r="B5">
        <v>5</v>
      </c>
      <c r="C5">
        <v>75</v>
      </c>
      <c r="D5" s="7">
        <v>0.24988084582623499</v>
      </c>
      <c r="E5" s="7">
        <v>0.94087503559316299</v>
      </c>
      <c r="F5" s="7"/>
      <c r="G5" s="7">
        <v>7</v>
      </c>
      <c r="H5">
        <v>55</v>
      </c>
      <c r="I5" s="7">
        <v>0.25057227239742902</v>
      </c>
      <c r="J5" s="7">
        <v>0.86435303600556002</v>
      </c>
      <c r="L5">
        <v>5</v>
      </c>
      <c r="M5">
        <v>75</v>
      </c>
      <c r="N5" s="7">
        <v>0.24988084582623499</v>
      </c>
      <c r="O5" s="7">
        <v>0.94087503559316299</v>
      </c>
      <c r="P5" s="7">
        <f t="shared" si="1"/>
        <v>0.55555555555555558</v>
      </c>
      <c r="Q5" s="7">
        <f t="shared" si="0"/>
        <v>1</v>
      </c>
      <c r="R5" s="7">
        <f t="shared" si="0"/>
        <v>0.49937129623114146</v>
      </c>
      <c r="S5">
        <f t="shared" si="2"/>
        <v>0.48527068737821422</v>
      </c>
    </row>
    <row r="6" spans="2:19">
      <c r="B6">
        <v>5</v>
      </c>
      <c r="C6">
        <v>75</v>
      </c>
      <c r="D6" s="7">
        <v>0.29982558074264398</v>
      </c>
      <c r="E6" s="7">
        <v>0.85897738673209301</v>
      </c>
      <c r="F6" s="7"/>
      <c r="G6" s="7">
        <v>7</v>
      </c>
      <c r="H6">
        <v>55</v>
      </c>
      <c r="I6" s="7">
        <v>0.299374625801551</v>
      </c>
      <c r="J6" s="7">
        <v>0.78535024974771295</v>
      </c>
      <c r="L6">
        <v>5</v>
      </c>
      <c r="M6">
        <v>75</v>
      </c>
      <c r="N6" s="7">
        <v>0.29982558074264398</v>
      </c>
      <c r="O6" s="7">
        <v>0.85897738673209301</v>
      </c>
      <c r="P6" s="7">
        <f t="shared" si="1"/>
        <v>0.55555555555555558</v>
      </c>
      <c r="Q6" s="7">
        <f t="shared" si="0"/>
        <v>1</v>
      </c>
      <c r="R6" s="7">
        <f t="shared" si="0"/>
        <v>0.59918273609024786</v>
      </c>
      <c r="S6">
        <f t="shared" si="2"/>
        <v>0.46324097796457475</v>
      </c>
    </row>
    <row r="7" spans="2:19">
      <c r="B7">
        <v>5</v>
      </c>
      <c r="C7">
        <v>75</v>
      </c>
      <c r="D7" s="7">
        <v>0.34934370799623998</v>
      </c>
      <c r="E7" s="7">
        <v>0.79751893964522103</v>
      </c>
      <c r="F7" s="7"/>
      <c r="G7" s="7">
        <v>7</v>
      </c>
      <c r="H7">
        <v>55</v>
      </c>
      <c r="I7" s="7">
        <v>0.34943365130945597</v>
      </c>
      <c r="J7" s="7">
        <v>0.73010237434865599</v>
      </c>
      <c r="L7">
        <v>5</v>
      </c>
      <c r="M7">
        <v>75</v>
      </c>
      <c r="N7" s="7">
        <v>0.34934370799623998</v>
      </c>
      <c r="O7" s="7">
        <v>0.79751893964522103</v>
      </c>
      <c r="P7" s="7">
        <f t="shared" si="1"/>
        <v>0.55555555555555558</v>
      </c>
      <c r="Q7" s="7">
        <f t="shared" si="0"/>
        <v>1</v>
      </c>
      <c r="R7" s="7">
        <f t="shared" si="0"/>
        <v>0.69814162712410666</v>
      </c>
      <c r="S7">
        <f t="shared" si="2"/>
        <v>0.44861375611939158</v>
      </c>
    </row>
    <row r="8" spans="2:19">
      <c r="B8">
        <v>5</v>
      </c>
      <c r="C8">
        <v>75</v>
      </c>
      <c r="D8" s="7">
        <v>0.399702803465523</v>
      </c>
      <c r="E8" s="7">
        <v>0.73021862111830305</v>
      </c>
      <c r="F8" s="7"/>
      <c r="G8" s="7">
        <v>7</v>
      </c>
      <c r="H8">
        <v>55</v>
      </c>
      <c r="I8" s="7">
        <v>0.39946570279493099</v>
      </c>
      <c r="J8" s="7">
        <v>0.70010218394379198</v>
      </c>
      <c r="L8">
        <v>5</v>
      </c>
      <c r="M8">
        <v>75</v>
      </c>
      <c r="N8" s="7">
        <v>0.399702803465523</v>
      </c>
      <c r="O8" s="7">
        <v>0.73021862111830305</v>
      </c>
      <c r="P8" s="7">
        <f t="shared" si="1"/>
        <v>0.55555555555555558</v>
      </c>
      <c r="Q8" s="7">
        <f t="shared" si="0"/>
        <v>1</v>
      </c>
      <c r="R8" s="7">
        <f t="shared" si="0"/>
        <v>0.79878114072256512</v>
      </c>
      <c r="S8">
        <f t="shared" si="2"/>
        <v>0.44112313864151675</v>
      </c>
    </row>
    <row r="9" spans="2:19">
      <c r="B9">
        <v>5</v>
      </c>
      <c r="C9">
        <v>75</v>
      </c>
      <c r="D9" s="7">
        <v>0.44963018830952101</v>
      </c>
      <c r="E9" s="7">
        <v>0.69795605941073002</v>
      </c>
      <c r="F9" s="7"/>
      <c r="G9" s="7">
        <v>7</v>
      </c>
      <c r="H9">
        <v>55</v>
      </c>
      <c r="I9" s="7">
        <v>0.449051360654315</v>
      </c>
      <c r="J9" s="7">
        <v>0.68792642756046896</v>
      </c>
      <c r="L9">
        <v>5</v>
      </c>
      <c r="M9">
        <v>75</v>
      </c>
      <c r="N9" s="7">
        <v>0.44963018830952101</v>
      </c>
      <c r="O9" s="7">
        <v>0.69795605941073002</v>
      </c>
      <c r="P9" s="7">
        <f t="shared" si="1"/>
        <v>0.55555555555555558</v>
      </c>
      <c r="Q9" s="7">
        <f t="shared" si="0"/>
        <v>1</v>
      </c>
      <c r="R9" s="7">
        <f t="shared" si="0"/>
        <v>0.89855790754332432</v>
      </c>
      <c r="S9">
        <f t="shared" si="2"/>
        <v>0.44163747711965451</v>
      </c>
    </row>
    <row r="10" spans="2:19">
      <c r="B10">
        <v>5</v>
      </c>
      <c r="C10">
        <v>75</v>
      </c>
      <c r="D10" s="7">
        <v>0.50039088692549505</v>
      </c>
      <c r="E10" s="7">
        <v>0.68174945883082905</v>
      </c>
      <c r="F10" s="7"/>
      <c r="G10" s="7">
        <v>7</v>
      </c>
      <c r="H10">
        <v>55</v>
      </c>
      <c r="I10" s="7">
        <v>0.49992225134711399</v>
      </c>
      <c r="J10" s="7">
        <v>0.67277273910090796</v>
      </c>
      <c r="L10">
        <v>5</v>
      </c>
      <c r="M10">
        <v>75</v>
      </c>
      <c r="N10" s="7">
        <v>0.50039088692549505</v>
      </c>
      <c r="O10" s="7">
        <v>0.68174945883082905</v>
      </c>
      <c r="P10" s="7">
        <f t="shared" si="1"/>
        <v>0.55555555555555558</v>
      </c>
      <c r="Q10" s="7">
        <f t="shared" si="0"/>
        <v>1</v>
      </c>
      <c r="R10" s="7">
        <f t="shared" si="0"/>
        <v>1</v>
      </c>
      <c r="S10">
        <f t="shared" si="2"/>
        <v>0.45128888888888896</v>
      </c>
    </row>
    <row r="11" spans="2:19">
      <c r="B11">
        <v>7</v>
      </c>
      <c r="C11">
        <v>75</v>
      </c>
      <c r="D11" s="7">
        <v>9.95195050534637E-2</v>
      </c>
      <c r="E11" s="7">
        <v>1.4945987183399401</v>
      </c>
      <c r="F11" s="7"/>
      <c r="G11" s="7">
        <v>7</v>
      </c>
      <c r="H11">
        <v>65</v>
      </c>
      <c r="I11" s="7">
        <v>9.9072410969858901E-2</v>
      </c>
      <c r="J11" s="7">
        <v>1.4682233322120599</v>
      </c>
      <c r="L11">
        <v>7</v>
      </c>
      <c r="M11">
        <v>75</v>
      </c>
      <c r="N11" s="7">
        <v>9.95195050534637E-2</v>
      </c>
      <c r="O11" s="7">
        <v>1.4945987183399401</v>
      </c>
      <c r="P11" s="7">
        <f t="shared" si="1"/>
        <v>0.77777777777777779</v>
      </c>
      <c r="Q11" s="7">
        <f t="shared" si="0"/>
        <v>1</v>
      </c>
      <c r="R11" s="7">
        <f t="shared" si="0"/>
        <v>0.19889448107410743</v>
      </c>
      <c r="S11">
        <f t="shared" si="2"/>
        <v>0.66686996787563602</v>
      </c>
    </row>
    <row r="12" spans="2:19">
      <c r="B12">
        <v>7</v>
      </c>
      <c r="C12">
        <v>75</v>
      </c>
      <c r="D12" s="7">
        <v>0.14992707866624799</v>
      </c>
      <c r="E12" s="7">
        <v>1.28861212688414</v>
      </c>
      <c r="F12" s="7"/>
      <c r="G12" s="7">
        <v>7</v>
      </c>
      <c r="H12">
        <v>65</v>
      </c>
      <c r="I12" s="7">
        <v>0.14933136158518301</v>
      </c>
      <c r="J12" s="7">
        <v>1.2258455562678101</v>
      </c>
      <c r="L12">
        <v>7</v>
      </c>
      <c r="M12">
        <v>75</v>
      </c>
      <c r="N12" s="7">
        <v>0.14992707866624799</v>
      </c>
      <c r="O12" s="7">
        <v>1.28861212688414</v>
      </c>
      <c r="P12" s="7">
        <f t="shared" si="1"/>
        <v>0.77777777777777779</v>
      </c>
      <c r="Q12" s="7">
        <f t="shared" si="0"/>
        <v>1</v>
      </c>
      <c r="R12" s="7">
        <f t="shared" si="0"/>
        <v>0.299636422973171</v>
      </c>
      <c r="S12">
        <f t="shared" si="2"/>
        <v>0.60683438111740284</v>
      </c>
    </row>
    <row r="13" spans="2:19">
      <c r="B13">
        <v>7</v>
      </c>
      <c r="C13">
        <v>75</v>
      </c>
      <c r="D13" s="7">
        <v>0.199467148658482</v>
      </c>
      <c r="E13" s="7">
        <v>1.1643798931031399</v>
      </c>
      <c r="F13" s="7"/>
      <c r="G13" s="7">
        <v>7</v>
      </c>
      <c r="H13">
        <v>65</v>
      </c>
      <c r="I13" s="7">
        <v>0.19906458321432999</v>
      </c>
      <c r="J13" s="7">
        <v>1.07555011138684</v>
      </c>
      <c r="L13">
        <v>7</v>
      </c>
      <c r="M13">
        <v>75</v>
      </c>
      <c r="N13" s="7">
        <v>0.199467148658482</v>
      </c>
      <c r="O13" s="7">
        <v>1.1643798931031399</v>
      </c>
      <c r="P13" s="7">
        <f t="shared" si="1"/>
        <v>0.77777777777777779</v>
      </c>
      <c r="Q13" s="7">
        <f t="shared" si="0"/>
        <v>1</v>
      </c>
      <c r="R13" s="7">
        <f t="shared" si="0"/>
        <v>0.39864461747923291</v>
      </c>
      <c r="S13">
        <f t="shared" si="2"/>
        <v>0.56593421856300963</v>
      </c>
    </row>
    <row r="14" spans="2:19">
      <c r="B14">
        <v>7</v>
      </c>
      <c r="C14">
        <v>75</v>
      </c>
      <c r="D14" s="7">
        <v>0.249844104496424</v>
      </c>
      <c r="E14" s="7">
        <v>1.04598463191821</v>
      </c>
      <c r="F14" s="7"/>
      <c r="G14" s="7">
        <v>7</v>
      </c>
      <c r="H14">
        <v>65</v>
      </c>
      <c r="I14" s="7">
        <v>0.249185490303103</v>
      </c>
      <c r="J14" s="7">
        <v>0.96238107629522895</v>
      </c>
      <c r="L14">
        <v>7</v>
      </c>
      <c r="M14">
        <v>75</v>
      </c>
      <c r="N14" s="7">
        <v>0.249844104496424</v>
      </c>
      <c r="O14" s="7">
        <v>1.04598463191821</v>
      </c>
      <c r="P14" s="7">
        <f t="shared" si="1"/>
        <v>0.77777777777777779</v>
      </c>
      <c r="Q14" s="7">
        <f t="shared" si="0"/>
        <v>1</v>
      </c>
      <c r="R14" s="7">
        <f t="shared" si="0"/>
        <v>0.49932536829383889</v>
      </c>
      <c r="S14">
        <f t="shared" si="2"/>
        <v>0.53538100911618447</v>
      </c>
    </row>
    <row r="15" spans="2:19">
      <c r="B15">
        <v>7</v>
      </c>
      <c r="C15">
        <v>75</v>
      </c>
      <c r="D15" s="7">
        <v>0.29937345826746198</v>
      </c>
      <c r="E15" s="7">
        <v>0.95240936373202001</v>
      </c>
      <c r="F15" s="7"/>
      <c r="G15" s="7">
        <v>7</v>
      </c>
      <c r="H15">
        <v>65</v>
      </c>
      <c r="I15" s="7">
        <v>0.29928577019825298</v>
      </c>
      <c r="J15" s="7">
        <v>0.86851909443446496</v>
      </c>
      <c r="L15">
        <v>7</v>
      </c>
      <c r="M15">
        <v>75</v>
      </c>
      <c r="N15" s="7">
        <v>0.29937345826746198</v>
      </c>
      <c r="O15" s="7">
        <v>0.95240936373202001</v>
      </c>
      <c r="P15" s="7">
        <f t="shared" si="1"/>
        <v>0.77777777777777779</v>
      </c>
      <c r="Q15" s="7">
        <f t="shared" si="0"/>
        <v>1</v>
      </c>
      <c r="R15" s="7">
        <f t="shared" si="0"/>
        <v>0.59831214592033821</v>
      </c>
      <c r="S15">
        <f t="shared" si="2"/>
        <v>0.51349944986084528</v>
      </c>
    </row>
    <row r="16" spans="2:19">
      <c r="B16">
        <v>7</v>
      </c>
      <c r="C16">
        <v>75</v>
      </c>
      <c r="D16" s="7">
        <v>0.350156099622074</v>
      </c>
      <c r="E16" s="7">
        <v>0.873428976457992</v>
      </c>
      <c r="F16" s="7"/>
      <c r="G16" s="7">
        <v>7</v>
      </c>
      <c r="H16">
        <v>65</v>
      </c>
      <c r="I16" s="7">
        <v>0.34977849567463598</v>
      </c>
      <c r="J16" s="7">
        <v>0.80732804854054696</v>
      </c>
      <c r="L16">
        <v>7</v>
      </c>
      <c r="M16">
        <v>75</v>
      </c>
      <c r="N16" s="7">
        <v>0.350156099622074</v>
      </c>
      <c r="O16" s="7">
        <v>0.873428976457992</v>
      </c>
      <c r="P16" s="7">
        <f t="shared" si="1"/>
        <v>0.77777777777777779</v>
      </c>
      <c r="Q16" s="7">
        <f t="shared" si="0"/>
        <v>1</v>
      </c>
      <c r="R16" s="7">
        <f t="shared" si="0"/>
        <v>0.69980367860402626</v>
      </c>
      <c r="S16">
        <f t="shared" si="2"/>
        <v>0.49852701500239027</v>
      </c>
    </row>
    <row r="17" spans="2:19">
      <c r="B17">
        <v>7</v>
      </c>
      <c r="C17">
        <v>75</v>
      </c>
      <c r="D17" s="7">
        <v>0.39967269598692801</v>
      </c>
      <c r="E17" s="7">
        <v>0.81635009588466401</v>
      </c>
      <c r="F17" s="7"/>
      <c r="G17" s="7">
        <v>7</v>
      </c>
      <c r="H17">
        <v>65</v>
      </c>
      <c r="I17" s="7">
        <v>0.400256940786202</v>
      </c>
      <c r="J17" s="7">
        <v>0.75950342411414096</v>
      </c>
      <c r="L17">
        <v>7</v>
      </c>
      <c r="M17">
        <v>75</v>
      </c>
      <c r="N17" s="7">
        <v>0.39967269598692801</v>
      </c>
      <c r="O17" s="7">
        <v>0.81635009588466401</v>
      </c>
      <c r="P17" s="7">
        <f t="shared" si="1"/>
        <v>0.77777777777777779</v>
      </c>
      <c r="Q17" s="7">
        <f t="shared" si="0"/>
        <v>1</v>
      </c>
      <c r="R17" s="7">
        <f t="shared" si="0"/>
        <v>0.79876495994533547</v>
      </c>
      <c r="S17">
        <f t="shared" si="2"/>
        <v>0.49122213122069547</v>
      </c>
    </row>
    <row r="18" spans="2:19">
      <c r="B18">
        <v>7</v>
      </c>
      <c r="C18">
        <v>75</v>
      </c>
      <c r="D18" s="7">
        <v>0.44918214820431801</v>
      </c>
      <c r="E18" s="7">
        <v>0.77970919237454095</v>
      </c>
      <c r="F18" s="7"/>
      <c r="G18" s="7">
        <v>7</v>
      </c>
      <c r="H18">
        <v>65</v>
      </c>
      <c r="I18" s="7">
        <v>0.44944380623554703</v>
      </c>
      <c r="J18" s="7">
        <v>0.72059736352731296</v>
      </c>
      <c r="L18">
        <v>7</v>
      </c>
      <c r="M18">
        <v>75</v>
      </c>
      <c r="N18" s="7">
        <v>0.44918214820431801</v>
      </c>
      <c r="O18" s="7">
        <v>0.77970919237454095</v>
      </c>
      <c r="P18" s="7">
        <f t="shared" si="1"/>
        <v>0.77777777777777779</v>
      </c>
      <c r="Q18" s="7">
        <f t="shared" si="1"/>
        <v>1</v>
      </c>
      <c r="R18" s="7">
        <f t="shared" si="1"/>
        <v>0.89771196336693637</v>
      </c>
      <c r="S18">
        <f t="shared" si="2"/>
        <v>0.4916957669513069</v>
      </c>
    </row>
    <row r="19" spans="2:19">
      <c r="B19">
        <v>7</v>
      </c>
      <c r="C19">
        <v>75</v>
      </c>
      <c r="D19" s="7">
        <v>0.50036333092813701</v>
      </c>
      <c r="E19" s="7">
        <v>0.76058165607461703</v>
      </c>
      <c r="F19" s="7"/>
      <c r="G19" s="7">
        <v>7</v>
      </c>
      <c r="H19">
        <v>65</v>
      </c>
      <c r="I19" s="7">
        <v>0.49945999064900498</v>
      </c>
      <c r="J19" s="7">
        <v>0.70544875253079797</v>
      </c>
      <c r="L19">
        <v>7</v>
      </c>
      <c r="M19">
        <v>75</v>
      </c>
      <c r="N19" s="7">
        <v>0.50036333092813701</v>
      </c>
      <c r="O19" s="7">
        <v>0.76058165607461703</v>
      </c>
      <c r="P19" s="7">
        <f t="shared" si="1"/>
        <v>0.77777777777777779</v>
      </c>
      <c r="Q19" s="7">
        <f t="shared" si="1"/>
        <v>1</v>
      </c>
      <c r="R19" s="7">
        <f t="shared" si="1"/>
        <v>1</v>
      </c>
      <c r="S19">
        <f t="shared" si="2"/>
        <v>0.5013873015873016</v>
      </c>
    </row>
    <row r="20" spans="2:19">
      <c r="B20">
        <v>9</v>
      </c>
      <c r="C20">
        <v>75</v>
      </c>
      <c r="D20" s="7">
        <v>9.9505727054784304E-2</v>
      </c>
      <c r="E20" s="7">
        <v>1.53401481696183</v>
      </c>
      <c r="F20" s="7"/>
      <c r="G20" s="7">
        <v>7</v>
      </c>
      <c r="H20">
        <v>75</v>
      </c>
      <c r="I20" s="7">
        <v>9.8613323686153498E-2</v>
      </c>
      <c r="J20" s="7">
        <v>1.4979290297602801</v>
      </c>
      <c r="L20">
        <v>9</v>
      </c>
      <c r="M20">
        <v>75</v>
      </c>
      <c r="N20" s="7">
        <v>9.9505727054784304E-2</v>
      </c>
      <c r="O20" s="7">
        <v>1.53401481696183</v>
      </c>
      <c r="P20" s="7">
        <f t="shared" si="1"/>
        <v>1</v>
      </c>
      <c r="Q20" s="7">
        <f t="shared" si="1"/>
        <v>1</v>
      </c>
      <c r="R20" s="7">
        <f t="shared" si="1"/>
        <v>0.19903623656605426</v>
      </c>
      <c r="S20">
        <f t="shared" si="2"/>
        <v>0.6873777903575633</v>
      </c>
    </row>
    <row r="21" spans="2:19">
      <c r="B21">
        <v>9</v>
      </c>
      <c r="C21">
        <v>75</v>
      </c>
      <c r="D21" s="7">
        <v>0.149502512188425</v>
      </c>
      <c r="E21" s="7">
        <v>1.3032119066402801</v>
      </c>
      <c r="F21" s="7"/>
      <c r="G21" s="7">
        <v>7</v>
      </c>
      <c r="H21">
        <v>75</v>
      </c>
      <c r="I21" s="7">
        <v>0.14883895345024101</v>
      </c>
      <c r="J21" s="7">
        <v>1.28673957057356</v>
      </c>
      <c r="L21">
        <v>9</v>
      </c>
      <c r="M21">
        <v>75</v>
      </c>
      <c r="N21" s="7">
        <v>0.149502512188425</v>
      </c>
      <c r="O21" s="7">
        <v>1.3032119066402801</v>
      </c>
      <c r="P21" s="7">
        <f t="shared" si="1"/>
        <v>1</v>
      </c>
      <c r="Q21" s="7">
        <f t="shared" si="1"/>
        <v>1</v>
      </c>
      <c r="R21" s="7">
        <f t="shared" si="1"/>
        <v>0.29904225881161545</v>
      </c>
      <c r="S21">
        <f t="shared" si="2"/>
        <v>0.62773551303135189</v>
      </c>
    </row>
    <row r="22" spans="2:19">
      <c r="B22">
        <v>9</v>
      </c>
      <c r="C22">
        <v>75</v>
      </c>
      <c r="D22" s="7">
        <v>0.19989120484005701</v>
      </c>
      <c r="E22" s="7">
        <v>1.15123996885151</v>
      </c>
      <c r="F22" s="7"/>
      <c r="G22" s="7">
        <v>7</v>
      </c>
      <c r="H22">
        <v>75</v>
      </c>
      <c r="I22" s="7">
        <v>0.19896779407502299</v>
      </c>
      <c r="J22" s="7">
        <v>1.1661447457777701</v>
      </c>
      <c r="L22">
        <v>9</v>
      </c>
      <c r="M22">
        <v>75</v>
      </c>
      <c r="N22" s="7">
        <v>0.19989120484005701</v>
      </c>
      <c r="O22" s="7">
        <v>1.15123996885151</v>
      </c>
      <c r="P22" s="7">
        <f t="shared" si="1"/>
        <v>1</v>
      </c>
      <c r="Q22" s="7">
        <f t="shared" si="1"/>
        <v>1</v>
      </c>
      <c r="R22" s="7">
        <f t="shared" si="1"/>
        <v>0.39983219369991307</v>
      </c>
      <c r="S22">
        <f t="shared" si="2"/>
        <v>0.58612978340892208</v>
      </c>
    </row>
    <row r="23" spans="2:19">
      <c r="B23">
        <v>9</v>
      </c>
      <c r="C23">
        <v>75</v>
      </c>
      <c r="D23" s="7">
        <v>0.25026203712303102</v>
      </c>
      <c r="E23" s="7">
        <v>1.05036297372076</v>
      </c>
      <c r="F23" s="7"/>
      <c r="G23" s="7">
        <v>7</v>
      </c>
      <c r="H23">
        <v>75</v>
      </c>
      <c r="I23" s="7">
        <v>0.248667694852933</v>
      </c>
      <c r="J23" s="7">
        <v>1.0470376176543299</v>
      </c>
      <c r="L23">
        <v>9</v>
      </c>
      <c r="M23">
        <v>75</v>
      </c>
      <c r="N23" s="7">
        <v>0.25026203712303102</v>
      </c>
      <c r="O23" s="7">
        <v>1.05036297372076</v>
      </c>
      <c r="P23" s="7">
        <f t="shared" si="1"/>
        <v>1</v>
      </c>
      <c r="Q23" s="7">
        <f t="shared" si="1"/>
        <v>1</v>
      </c>
      <c r="R23" s="7">
        <f t="shared" si="1"/>
        <v>0.50058640340267024</v>
      </c>
      <c r="S23">
        <f t="shared" si="2"/>
        <v>0.55566734397884898</v>
      </c>
    </row>
    <row r="24" spans="2:19">
      <c r="B24">
        <v>9</v>
      </c>
      <c r="C24">
        <v>75</v>
      </c>
      <c r="D24" s="7">
        <v>0.30021085440941803</v>
      </c>
      <c r="E24" s="7">
        <v>0.95678648082357698</v>
      </c>
      <c r="F24" s="7"/>
      <c r="G24" s="7">
        <v>7</v>
      </c>
      <c r="H24">
        <v>75</v>
      </c>
      <c r="I24" s="7">
        <v>0.29919215447335001</v>
      </c>
      <c r="J24" s="7">
        <v>0.95614341294372196</v>
      </c>
      <c r="L24">
        <v>9</v>
      </c>
      <c r="M24">
        <v>75</v>
      </c>
      <c r="N24" s="7">
        <v>0.30021085440941803</v>
      </c>
      <c r="O24" s="7">
        <v>0.95678648082357698</v>
      </c>
      <c r="P24" s="7">
        <f t="shared" si="1"/>
        <v>1</v>
      </c>
      <c r="Q24" s="7">
        <f t="shared" si="1"/>
        <v>1</v>
      </c>
      <c r="R24" s="7">
        <f t="shared" si="1"/>
        <v>0.60049647800706407</v>
      </c>
      <c r="S24">
        <f t="shared" si="2"/>
        <v>0.53371159775067811</v>
      </c>
    </row>
    <row r="25" spans="2:19">
      <c r="B25">
        <v>9</v>
      </c>
      <c r="C25">
        <v>75</v>
      </c>
      <c r="D25" s="7">
        <v>0.35014283191964202</v>
      </c>
      <c r="E25" s="7">
        <v>0.911385219575372</v>
      </c>
      <c r="F25" s="7"/>
      <c r="G25" s="7">
        <v>7</v>
      </c>
      <c r="H25">
        <v>75</v>
      </c>
      <c r="I25" s="7">
        <v>0.34927974071088702</v>
      </c>
      <c r="J25" s="7">
        <v>0.87416269460963802</v>
      </c>
      <c r="L25">
        <v>9</v>
      </c>
      <c r="M25">
        <v>75</v>
      </c>
      <c r="N25" s="7">
        <v>0.35014283191964202</v>
      </c>
      <c r="O25" s="7">
        <v>0.911385219575372</v>
      </c>
      <c r="P25" s="7">
        <f t="shared" si="1"/>
        <v>1</v>
      </c>
      <c r="Q25" s="7">
        <f t="shared" si="1"/>
        <v>1</v>
      </c>
      <c r="R25" s="7">
        <f t="shared" si="1"/>
        <v>0.70037286886509165</v>
      </c>
      <c r="S25">
        <f t="shared" si="2"/>
        <v>0.51907676934835623</v>
      </c>
    </row>
    <row r="26" spans="2:19">
      <c r="B26">
        <v>9</v>
      </c>
      <c r="C26">
        <v>75</v>
      </c>
      <c r="D26" s="7">
        <v>0.39965636650701197</v>
      </c>
      <c r="E26" s="7">
        <v>0.86306547202913098</v>
      </c>
      <c r="F26" s="7"/>
      <c r="G26" s="7">
        <v>7</v>
      </c>
      <c r="H26">
        <v>75</v>
      </c>
      <c r="I26" s="7">
        <v>0.39934035292599301</v>
      </c>
      <c r="J26" s="7">
        <v>0.81742966126974603</v>
      </c>
      <c r="L26">
        <v>9</v>
      </c>
      <c r="M26">
        <v>75</v>
      </c>
      <c r="N26" s="7">
        <v>0.39965636650701197</v>
      </c>
      <c r="O26" s="7">
        <v>0.86306547202913098</v>
      </c>
      <c r="P26" s="7">
        <f t="shared" si="1"/>
        <v>1</v>
      </c>
      <c r="Q26" s="7">
        <f t="shared" si="1"/>
        <v>1</v>
      </c>
      <c r="R26" s="7">
        <f t="shared" si="1"/>
        <v>0.79941226966186663</v>
      </c>
      <c r="S26">
        <f t="shared" si="2"/>
        <v>0.51181179322028392</v>
      </c>
    </row>
    <row r="27" spans="2:19">
      <c r="B27">
        <v>9</v>
      </c>
      <c r="C27">
        <v>75</v>
      </c>
      <c r="D27" s="7">
        <v>0.45042829164042802</v>
      </c>
      <c r="E27" s="7">
        <v>0.81474205034990999</v>
      </c>
      <c r="F27" s="7"/>
      <c r="G27" s="7">
        <v>7</v>
      </c>
      <c r="H27">
        <v>75</v>
      </c>
      <c r="I27" s="7">
        <v>0.44938192465467902</v>
      </c>
      <c r="J27" s="7">
        <v>0.77851852321987303</v>
      </c>
      <c r="L27">
        <v>9</v>
      </c>
      <c r="M27">
        <v>75</v>
      </c>
      <c r="N27" s="7">
        <v>0.45042829164042802</v>
      </c>
      <c r="O27" s="7">
        <v>0.81474205034990999</v>
      </c>
      <c r="P27" s="7">
        <f t="shared" si="1"/>
        <v>1</v>
      </c>
      <c r="Q27" s="7">
        <f t="shared" si="1"/>
        <v>1</v>
      </c>
      <c r="R27" s="7">
        <f t="shared" si="1"/>
        <v>0.90096876495992007</v>
      </c>
      <c r="S27">
        <f t="shared" si="2"/>
        <v>0.51246643531112979</v>
      </c>
    </row>
    <row r="28" spans="2:19">
      <c r="B28">
        <v>9</v>
      </c>
      <c r="C28">
        <v>75</v>
      </c>
      <c r="D28" s="7">
        <v>0.49993774385781897</v>
      </c>
      <c r="E28" s="7">
        <v>0.77810114683978604</v>
      </c>
      <c r="F28" s="7"/>
      <c r="G28" s="7">
        <v>7</v>
      </c>
      <c r="H28">
        <v>75</v>
      </c>
      <c r="I28" s="7">
        <v>0.49940286918974203</v>
      </c>
      <c r="J28" s="7">
        <v>0.75891443840085304</v>
      </c>
      <c r="L28">
        <v>9</v>
      </c>
      <c r="M28">
        <v>75</v>
      </c>
      <c r="N28" s="7">
        <v>0.49993774385781897</v>
      </c>
      <c r="O28" s="7">
        <v>0.77810114683978604</v>
      </c>
      <c r="P28" s="7">
        <f t="shared" si="1"/>
        <v>1</v>
      </c>
      <c r="Q28" s="7">
        <f t="shared" si="1"/>
        <v>1</v>
      </c>
      <c r="R28" s="7">
        <f t="shared" si="1"/>
        <v>1</v>
      </c>
      <c r="S28">
        <f t="shared" si="2"/>
        <v>0.52200000000000002</v>
      </c>
    </row>
    <row r="29" spans="2:19">
      <c r="B29" s="7">
        <v>7</v>
      </c>
      <c r="C29">
        <v>55</v>
      </c>
      <c r="D29" s="7">
        <v>9.9200934253200299E-2</v>
      </c>
      <c r="E29" s="7">
        <v>1.34792553900443</v>
      </c>
      <c r="L29" s="7">
        <v>7</v>
      </c>
      <c r="M29">
        <v>55</v>
      </c>
      <c r="N29" s="7">
        <v>9.9200934253200299E-2</v>
      </c>
      <c r="O29" s="7">
        <v>1.34792553900443</v>
      </c>
      <c r="P29" s="7">
        <f t="shared" si="1"/>
        <v>1</v>
      </c>
      <c r="Q29" s="7">
        <f t="shared" si="1"/>
        <v>0.73333333333333328</v>
      </c>
      <c r="R29" s="7">
        <f t="shared" si="1"/>
        <v>0.1984327242604001</v>
      </c>
      <c r="S29">
        <f t="shared" si="2"/>
        <v>0.58969148313182762</v>
      </c>
    </row>
    <row r="30" spans="2:19">
      <c r="B30" s="7">
        <v>7</v>
      </c>
      <c r="C30">
        <v>55</v>
      </c>
      <c r="D30" s="7">
        <v>0.149032531728854</v>
      </c>
      <c r="E30" s="7">
        <v>1.1055503017917001</v>
      </c>
      <c r="L30" s="7">
        <v>7</v>
      </c>
      <c r="M30">
        <v>55</v>
      </c>
      <c r="N30" s="7">
        <v>0.149032531728854</v>
      </c>
      <c r="O30" s="7">
        <v>1.1055503017917001</v>
      </c>
      <c r="P30" s="7">
        <f t="shared" si="1"/>
        <v>1</v>
      </c>
      <c r="Q30" s="7">
        <f t="shared" si="1"/>
        <v>0.73333333333333328</v>
      </c>
      <c r="R30" s="7">
        <f t="shared" si="1"/>
        <v>0.29811141898017929</v>
      </c>
      <c r="S30">
        <f t="shared" si="2"/>
        <v>0.53005527890826309</v>
      </c>
    </row>
    <row r="31" spans="2:19">
      <c r="B31" s="7">
        <v>7</v>
      </c>
      <c r="C31">
        <v>55</v>
      </c>
      <c r="D31" s="7">
        <v>0.19918199954725899</v>
      </c>
      <c r="E31" s="7">
        <v>0.96564842376506499</v>
      </c>
      <c r="L31" s="7">
        <v>7</v>
      </c>
      <c r="M31">
        <v>55</v>
      </c>
      <c r="N31" s="7">
        <v>0.19918199954725899</v>
      </c>
      <c r="O31" s="7">
        <v>0.96564842376506499</v>
      </c>
      <c r="P31" s="7">
        <f t="shared" si="1"/>
        <v>1</v>
      </c>
      <c r="Q31" s="7">
        <f t="shared" si="1"/>
        <v>0.73333333333333328</v>
      </c>
      <c r="R31" s="7">
        <f t="shared" si="1"/>
        <v>0.39842595325679908</v>
      </c>
      <c r="S31">
        <f t="shared" si="2"/>
        <v>0.48849055306796663</v>
      </c>
    </row>
    <row r="32" spans="2:19">
      <c r="B32" s="7">
        <v>7</v>
      </c>
      <c r="C32">
        <v>55</v>
      </c>
      <c r="D32" s="7">
        <v>0.25057227239742902</v>
      </c>
      <c r="E32" s="7">
        <v>0.86435303600556002</v>
      </c>
      <c r="L32" s="7">
        <v>7</v>
      </c>
      <c r="M32">
        <v>55</v>
      </c>
      <c r="N32" s="7">
        <v>0.25057227239742902</v>
      </c>
      <c r="O32" s="7">
        <v>0.86435303600556002</v>
      </c>
      <c r="P32" s="7">
        <f t="shared" si="1"/>
        <v>1</v>
      </c>
      <c r="Q32" s="7">
        <f t="shared" si="1"/>
        <v>0.73333333333333328</v>
      </c>
      <c r="R32" s="7">
        <f t="shared" si="1"/>
        <v>0.50122248354064092</v>
      </c>
      <c r="S32">
        <f t="shared" si="2"/>
        <v>0.45736987758727266</v>
      </c>
    </row>
    <row r="33" spans="2:19">
      <c r="B33" s="7">
        <v>7</v>
      </c>
      <c r="C33">
        <v>55</v>
      </c>
      <c r="D33" s="7">
        <v>0.299374625801551</v>
      </c>
      <c r="E33" s="7">
        <v>0.78535024974771295</v>
      </c>
      <c r="L33" s="7">
        <v>7</v>
      </c>
      <c r="M33">
        <v>55</v>
      </c>
      <c r="N33" s="7">
        <v>0.299374625801551</v>
      </c>
      <c r="O33" s="7">
        <v>0.78535024974771295</v>
      </c>
      <c r="P33" s="7">
        <f t="shared" si="1"/>
        <v>1</v>
      </c>
      <c r="Q33" s="7">
        <f t="shared" si="1"/>
        <v>0.73333333333333328</v>
      </c>
      <c r="R33" s="7">
        <f t="shared" si="1"/>
        <v>0.59884236997821572</v>
      </c>
      <c r="S33">
        <f t="shared" si="2"/>
        <v>0.43588126697702434</v>
      </c>
    </row>
    <row r="34" spans="2:19">
      <c r="B34" s="7">
        <v>7</v>
      </c>
      <c r="C34">
        <v>55</v>
      </c>
      <c r="D34" s="7">
        <v>0.34943365130945597</v>
      </c>
      <c r="E34" s="7">
        <v>0.73010237434865599</v>
      </c>
      <c r="L34" s="7">
        <v>7</v>
      </c>
      <c r="M34">
        <v>55</v>
      </c>
      <c r="N34" s="7">
        <v>0.34943365130945597</v>
      </c>
      <c r="O34" s="7">
        <v>0.73010237434865599</v>
      </c>
      <c r="P34" s="7">
        <f t="shared" si="1"/>
        <v>1</v>
      </c>
      <c r="Q34" s="7">
        <f t="shared" si="1"/>
        <v>0.73333333333333328</v>
      </c>
      <c r="R34" s="7">
        <f t="shared" si="1"/>
        <v>0.69897599150238987</v>
      </c>
      <c r="S34">
        <f t="shared" si="2"/>
        <v>0.42109833271945962</v>
      </c>
    </row>
    <row r="35" spans="2:19">
      <c r="B35" s="7">
        <v>7</v>
      </c>
      <c r="C35">
        <v>55</v>
      </c>
      <c r="D35" s="7">
        <v>0.39946570279493099</v>
      </c>
      <c r="E35" s="7">
        <v>0.70010218394379198</v>
      </c>
      <c r="L35" s="7">
        <v>7</v>
      </c>
      <c r="M35">
        <v>55</v>
      </c>
      <c r="N35" s="7">
        <v>0.39946570279493099</v>
      </c>
      <c r="O35" s="7">
        <v>0.70010218394379198</v>
      </c>
      <c r="P35" s="7">
        <f t="shared" si="1"/>
        <v>1</v>
      </c>
      <c r="Q35" s="7">
        <f t="shared" si="1"/>
        <v>0.73333333333333328</v>
      </c>
      <c r="R35" s="7">
        <f t="shared" si="1"/>
        <v>0.79905565659162392</v>
      </c>
      <c r="S35">
        <f t="shared" si="2"/>
        <v>0.41369110998909053</v>
      </c>
    </row>
    <row r="36" spans="2:19">
      <c r="B36" s="7">
        <v>7</v>
      </c>
      <c r="C36">
        <v>55</v>
      </c>
      <c r="D36" s="7">
        <v>0.449051360654315</v>
      </c>
      <c r="E36" s="7">
        <v>0.68792642756046896</v>
      </c>
      <c r="L36" s="7">
        <v>7</v>
      </c>
      <c r="M36">
        <v>55</v>
      </c>
      <c r="N36" s="7">
        <v>0.449051360654315</v>
      </c>
      <c r="O36" s="7">
        <v>0.68792642756046896</v>
      </c>
      <c r="P36" s="7">
        <f t="shared" si="1"/>
        <v>1</v>
      </c>
      <c r="Q36" s="7">
        <f t="shared" si="1"/>
        <v>0.73333333333333328</v>
      </c>
      <c r="R36" s="7">
        <f t="shared" si="1"/>
        <v>0.89824239558107311</v>
      </c>
      <c r="S36">
        <f t="shared" si="2"/>
        <v>0.41420021573247623</v>
      </c>
    </row>
    <row r="37" spans="2:19">
      <c r="B37" s="7">
        <v>7</v>
      </c>
      <c r="C37">
        <v>55</v>
      </c>
      <c r="D37" s="7">
        <v>0.49992225134711399</v>
      </c>
      <c r="E37" s="7">
        <v>0.67277273910090796</v>
      </c>
      <c r="L37" s="7">
        <v>7</v>
      </c>
      <c r="M37">
        <v>55</v>
      </c>
      <c r="N37" s="7">
        <v>0.49992225134711399</v>
      </c>
      <c r="O37" s="7">
        <v>0.67277273910090796</v>
      </c>
      <c r="P37" s="7">
        <f t="shared" si="1"/>
        <v>1</v>
      </c>
      <c r="Q37" s="7">
        <f t="shared" si="1"/>
        <v>0.73333333333333328</v>
      </c>
      <c r="R37" s="7">
        <f t="shared" si="1"/>
        <v>1</v>
      </c>
      <c r="S37">
        <f t="shared" si="2"/>
        <v>0.42386666666666672</v>
      </c>
    </row>
    <row r="38" spans="2:19">
      <c r="B38" s="7">
        <v>7</v>
      </c>
      <c r="C38">
        <v>65</v>
      </c>
      <c r="D38" s="7">
        <v>9.9072410969858901E-2</v>
      </c>
      <c r="E38" s="7">
        <v>1.4682233322120599</v>
      </c>
      <c r="L38" s="7">
        <v>7</v>
      </c>
      <c r="M38">
        <v>65</v>
      </c>
      <c r="N38" s="7">
        <v>9.9072410969858901E-2</v>
      </c>
      <c r="O38" s="7">
        <v>1.4682233322120599</v>
      </c>
      <c r="P38" s="7">
        <f t="shared" si="1"/>
        <v>1</v>
      </c>
      <c r="Q38" s="7">
        <f t="shared" si="1"/>
        <v>0.8666666666666667</v>
      </c>
      <c r="R38" s="7">
        <f t="shared" si="1"/>
        <v>0.19835905342712815</v>
      </c>
      <c r="S38">
        <f t="shared" si="2"/>
        <v>0.63881281257859668</v>
      </c>
    </row>
    <row r="39" spans="2:19">
      <c r="B39" s="7">
        <v>7</v>
      </c>
      <c r="C39">
        <v>65</v>
      </c>
      <c r="D39" s="7">
        <v>0.14933136158518301</v>
      </c>
      <c r="E39" s="7">
        <v>1.2258455562678101</v>
      </c>
      <c r="L39" s="7">
        <v>7</v>
      </c>
      <c r="M39">
        <v>65</v>
      </c>
      <c r="N39" s="7">
        <v>0.14933136158518301</v>
      </c>
      <c r="O39" s="7">
        <v>1.2258455562678101</v>
      </c>
      <c r="P39" s="7">
        <f t="shared" si="1"/>
        <v>1</v>
      </c>
      <c r="Q39" s="7">
        <f t="shared" si="1"/>
        <v>0.8666666666666667</v>
      </c>
      <c r="R39" s="7">
        <f t="shared" si="1"/>
        <v>0.29898563324589794</v>
      </c>
      <c r="S39">
        <f t="shared" si="2"/>
        <v>0.57869636674794023</v>
      </c>
    </row>
    <row r="40" spans="2:19">
      <c r="B40" s="7">
        <v>7</v>
      </c>
      <c r="C40">
        <v>65</v>
      </c>
      <c r="D40" s="7">
        <v>0.19906458321432999</v>
      </c>
      <c r="E40" s="7">
        <v>1.07555011138684</v>
      </c>
      <c r="L40" s="7">
        <v>7</v>
      </c>
      <c r="M40">
        <v>65</v>
      </c>
      <c r="N40" s="7">
        <v>0.19906458321432999</v>
      </c>
      <c r="O40" s="7">
        <v>1.07555011138684</v>
      </c>
      <c r="P40" s="7">
        <f t="shared" si="1"/>
        <v>1</v>
      </c>
      <c r="Q40" s="7">
        <f t="shared" si="1"/>
        <v>0.8666666666666667</v>
      </c>
      <c r="R40" s="7">
        <f t="shared" si="1"/>
        <v>0.39855961827024988</v>
      </c>
      <c r="S40">
        <f t="shared" si="2"/>
        <v>0.53751016381013139</v>
      </c>
    </row>
    <row r="41" spans="2:19">
      <c r="B41" s="7">
        <v>7</v>
      </c>
      <c r="C41">
        <v>65</v>
      </c>
      <c r="D41" s="7">
        <v>0.249185490303103</v>
      </c>
      <c r="E41" s="7">
        <v>0.96238107629522895</v>
      </c>
      <c r="L41" s="7">
        <v>7</v>
      </c>
      <c r="M41">
        <v>65</v>
      </c>
      <c r="N41" s="7">
        <v>0.249185490303103</v>
      </c>
      <c r="O41" s="7">
        <v>0.96238107629522895</v>
      </c>
      <c r="P41" s="7">
        <f t="shared" si="1"/>
        <v>1</v>
      </c>
      <c r="Q41" s="7">
        <f t="shared" si="1"/>
        <v>0.8666666666666667</v>
      </c>
      <c r="R41" s="7">
        <f t="shared" si="1"/>
        <v>0.49890981253434946</v>
      </c>
      <c r="S41">
        <f t="shared" si="2"/>
        <v>0.50703487157197558</v>
      </c>
    </row>
    <row r="42" spans="2:19">
      <c r="B42" s="7">
        <v>7</v>
      </c>
      <c r="C42">
        <v>65</v>
      </c>
      <c r="D42" s="7">
        <v>0.29928577019825298</v>
      </c>
      <c r="E42" s="7">
        <v>0.86851909443446496</v>
      </c>
      <c r="L42" s="7">
        <v>7</v>
      </c>
      <c r="M42">
        <v>65</v>
      </c>
      <c r="N42" s="7">
        <v>0.29928577019825298</v>
      </c>
      <c r="O42" s="7">
        <v>0.86851909443446496</v>
      </c>
      <c r="P42" s="7">
        <f t="shared" si="1"/>
        <v>1</v>
      </c>
      <c r="Q42" s="7">
        <f t="shared" si="1"/>
        <v>0.8666666666666667</v>
      </c>
      <c r="R42" s="7">
        <f t="shared" si="1"/>
        <v>0.5992187078075204</v>
      </c>
      <c r="S42">
        <f t="shared" si="2"/>
        <v>0.48487882080209921</v>
      </c>
    </row>
    <row r="43" spans="2:19">
      <c r="B43" s="7">
        <v>7</v>
      </c>
      <c r="C43">
        <v>65</v>
      </c>
      <c r="D43" s="7">
        <v>0.34977849567463598</v>
      </c>
      <c r="E43" s="7">
        <v>0.80732804854054696</v>
      </c>
      <c r="L43" s="7">
        <v>7</v>
      </c>
      <c r="M43">
        <v>65</v>
      </c>
      <c r="N43" s="7">
        <v>0.34977849567463598</v>
      </c>
      <c r="O43" s="7">
        <v>0.80732804854054696</v>
      </c>
      <c r="P43" s="7">
        <f t="shared" si="1"/>
        <v>1</v>
      </c>
      <c r="Q43" s="7">
        <f t="shared" si="1"/>
        <v>0.8666666666666667</v>
      </c>
      <c r="R43" s="7">
        <f t="shared" si="1"/>
        <v>0.70031334285681046</v>
      </c>
      <c r="S43">
        <f t="shared" si="2"/>
        <v>0.47001667429001781</v>
      </c>
    </row>
    <row r="44" spans="2:19">
      <c r="B44" s="7">
        <v>7</v>
      </c>
      <c r="C44">
        <v>65</v>
      </c>
      <c r="D44" s="7">
        <v>0.400256940786202</v>
      </c>
      <c r="E44" s="7">
        <v>0.75950342411414096</v>
      </c>
      <c r="L44" s="7">
        <v>7</v>
      </c>
      <c r="M44">
        <v>65</v>
      </c>
      <c r="N44" s="7">
        <v>0.400256940786202</v>
      </c>
      <c r="O44" s="7">
        <v>0.75950342411414096</v>
      </c>
      <c r="P44" s="7">
        <f t="shared" si="1"/>
        <v>1</v>
      </c>
      <c r="Q44" s="7">
        <f t="shared" si="1"/>
        <v>0.8666666666666667</v>
      </c>
      <c r="R44" s="7">
        <f t="shared" si="1"/>
        <v>0.80137938629699401</v>
      </c>
      <c r="S44">
        <f t="shared" si="2"/>
        <v>0.46267715753880945</v>
      </c>
    </row>
    <row r="45" spans="2:19">
      <c r="B45" s="7">
        <v>7</v>
      </c>
      <c r="C45">
        <v>65</v>
      </c>
      <c r="D45" s="7">
        <v>0.44944380623554703</v>
      </c>
      <c r="E45" s="7">
        <v>0.72059736352731296</v>
      </c>
      <c r="L45" s="7">
        <v>7</v>
      </c>
      <c r="M45">
        <v>65</v>
      </c>
      <c r="N45" s="7">
        <v>0.44944380623554703</v>
      </c>
      <c r="O45" s="7">
        <v>0.72059736352731296</v>
      </c>
      <c r="P45" s="7">
        <f t="shared" si="1"/>
        <v>1</v>
      </c>
      <c r="Q45" s="7">
        <f t="shared" si="1"/>
        <v>0.8666666666666667</v>
      </c>
      <c r="R45" s="7">
        <f t="shared" si="1"/>
        <v>0.89985947753599593</v>
      </c>
      <c r="S45">
        <f t="shared" si="2"/>
        <v>0.46334490029794639</v>
      </c>
    </row>
    <row r="46" spans="2:19">
      <c r="B46" s="7">
        <v>7</v>
      </c>
      <c r="C46">
        <v>65</v>
      </c>
      <c r="D46" s="7">
        <v>0.49945999064900498</v>
      </c>
      <c r="E46" s="7">
        <v>0.70544875253079797</v>
      </c>
      <c r="L46" s="7">
        <v>7</v>
      </c>
      <c r="M46">
        <v>65</v>
      </c>
      <c r="N46" s="7">
        <v>0.49945999064900498</v>
      </c>
      <c r="O46" s="7">
        <v>0.70544875253079797</v>
      </c>
      <c r="P46" s="7">
        <f t="shared" si="1"/>
        <v>1</v>
      </c>
      <c r="Q46" s="7">
        <f t="shared" si="1"/>
        <v>0.8666666666666667</v>
      </c>
      <c r="R46" s="7">
        <f t="shared" si="1"/>
        <v>1</v>
      </c>
      <c r="S46">
        <f t="shared" si="2"/>
        <v>0.47293333333333332</v>
      </c>
    </row>
    <row r="47" spans="2:19">
      <c r="B47" s="7">
        <v>7</v>
      </c>
      <c r="C47">
        <v>75</v>
      </c>
      <c r="D47" s="7">
        <v>9.8613323686153498E-2</v>
      </c>
      <c r="E47" s="7">
        <v>1.4979290297602801</v>
      </c>
      <c r="L47" s="7">
        <v>7</v>
      </c>
      <c r="M47">
        <v>75</v>
      </c>
      <c r="N47" s="7">
        <v>9.8613323686153498E-2</v>
      </c>
      <c r="O47" s="7">
        <v>1.4979290297602801</v>
      </c>
      <c r="P47" s="7">
        <f t="shared" si="1"/>
        <v>1</v>
      </c>
      <c r="Q47" s="7">
        <f t="shared" si="1"/>
        <v>1</v>
      </c>
      <c r="R47" s="7">
        <f t="shared" si="1"/>
        <v>0.19746246922078969</v>
      </c>
      <c r="S47">
        <f t="shared" si="2"/>
        <v>0.6885463846459372</v>
      </c>
    </row>
    <row r="48" spans="2:19">
      <c r="B48" s="7">
        <v>7</v>
      </c>
      <c r="C48">
        <v>75</v>
      </c>
      <c r="D48" s="7">
        <v>0.14883895345024101</v>
      </c>
      <c r="E48" s="7">
        <v>1.28673957057356</v>
      </c>
      <c r="L48" s="7">
        <v>7</v>
      </c>
      <c r="M48">
        <v>75</v>
      </c>
      <c r="N48" s="7">
        <v>0.14883895345024101</v>
      </c>
      <c r="O48" s="7">
        <v>1.28673957057356</v>
      </c>
      <c r="P48" s="7">
        <f t="shared" si="1"/>
        <v>1</v>
      </c>
      <c r="Q48" s="7">
        <f t="shared" si="1"/>
        <v>1</v>
      </c>
      <c r="R48" s="7">
        <f t="shared" si="1"/>
        <v>0.29803383727395338</v>
      </c>
      <c r="S48">
        <f t="shared" si="2"/>
        <v>0.62822644414033513</v>
      </c>
    </row>
    <row r="49" spans="2:19">
      <c r="B49" s="7">
        <v>7</v>
      </c>
      <c r="C49">
        <v>75</v>
      </c>
      <c r="D49" s="7">
        <v>0.19896779407502299</v>
      </c>
      <c r="E49" s="7">
        <v>1.1661447457777701</v>
      </c>
      <c r="L49" s="7">
        <v>7</v>
      </c>
      <c r="M49">
        <v>75</v>
      </c>
      <c r="N49" s="7">
        <v>0.19896779407502299</v>
      </c>
      <c r="O49" s="7">
        <v>1.1661447457777701</v>
      </c>
      <c r="P49" s="7">
        <f t="shared" si="1"/>
        <v>1</v>
      </c>
      <c r="Q49" s="7">
        <f t="shared" si="1"/>
        <v>1</v>
      </c>
      <c r="R49" s="7">
        <f t="shared" si="1"/>
        <v>0.39841139558897409</v>
      </c>
      <c r="S49">
        <f t="shared" si="2"/>
        <v>0.58662901249001997</v>
      </c>
    </row>
    <row r="50" spans="2:19">
      <c r="B50" s="7">
        <v>7</v>
      </c>
      <c r="C50">
        <v>75</v>
      </c>
      <c r="D50" s="7">
        <v>0.248667694852933</v>
      </c>
      <c r="E50" s="7">
        <v>1.0470376176543299</v>
      </c>
      <c r="L50" s="7">
        <v>7</v>
      </c>
      <c r="M50">
        <v>75</v>
      </c>
      <c r="N50" s="7">
        <v>0.248667694852933</v>
      </c>
      <c r="O50" s="7">
        <v>1.0470376176543299</v>
      </c>
      <c r="P50" s="7">
        <f t="shared" si="1"/>
        <v>1</v>
      </c>
      <c r="Q50" s="7">
        <f t="shared" si="1"/>
        <v>1</v>
      </c>
      <c r="R50" s="7">
        <f t="shared" si="1"/>
        <v>0.49793004845243438</v>
      </c>
      <c r="S50">
        <f t="shared" si="2"/>
        <v>0.55635632778407695</v>
      </c>
    </row>
    <row r="51" spans="2:19">
      <c r="B51" s="7">
        <v>7</v>
      </c>
      <c r="C51">
        <v>75</v>
      </c>
      <c r="D51" s="7">
        <v>0.29919215447335001</v>
      </c>
      <c r="E51" s="7">
        <v>0.95614341294372196</v>
      </c>
      <c r="L51" s="7">
        <v>7</v>
      </c>
      <c r="M51">
        <v>75</v>
      </c>
      <c r="N51" s="7">
        <v>0.29919215447335001</v>
      </c>
      <c r="O51" s="7">
        <v>0.95614341294372196</v>
      </c>
      <c r="P51" s="7">
        <f t="shared" si="1"/>
        <v>1</v>
      </c>
      <c r="Q51" s="7">
        <f t="shared" si="1"/>
        <v>1</v>
      </c>
      <c r="R51" s="7">
        <f t="shared" si="1"/>
        <v>0.59909979083375187</v>
      </c>
      <c r="S51">
        <f t="shared" si="2"/>
        <v>0.53396731494914362</v>
      </c>
    </row>
    <row r="52" spans="2:19">
      <c r="B52" s="7">
        <v>7</v>
      </c>
      <c r="C52">
        <v>75</v>
      </c>
      <c r="D52" s="7">
        <v>0.34927974071088702</v>
      </c>
      <c r="E52" s="7">
        <v>0.87416269460963802</v>
      </c>
      <c r="L52" s="7">
        <v>7</v>
      </c>
      <c r="M52">
        <v>75</v>
      </c>
      <c r="N52" s="7">
        <v>0.34927974071088702</v>
      </c>
      <c r="O52" s="7">
        <v>0.87416269460963802</v>
      </c>
      <c r="P52" s="7">
        <f t="shared" si="1"/>
        <v>1</v>
      </c>
      <c r="Q52" s="7">
        <f t="shared" si="1"/>
        <v>1</v>
      </c>
      <c r="R52" s="7">
        <f t="shared" si="1"/>
        <v>0.69939474171940019</v>
      </c>
      <c r="S52">
        <f t="shared" si="2"/>
        <v>0.51918508203841107</v>
      </c>
    </row>
    <row r="53" spans="2:19">
      <c r="B53" s="7">
        <v>7</v>
      </c>
      <c r="C53">
        <v>75</v>
      </c>
      <c r="D53" s="7">
        <v>0.39934035292599301</v>
      </c>
      <c r="E53" s="7">
        <v>0.81742966126974603</v>
      </c>
      <c r="L53" s="7">
        <v>7</v>
      </c>
      <c r="M53">
        <v>75</v>
      </c>
      <c r="N53" s="7">
        <v>0.39934035292599301</v>
      </c>
      <c r="O53" s="7">
        <v>0.81742966126974603</v>
      </c>
      <c r="P53" s="7">
        <f t="shared" si="1"/>
        <v>1</v>
      </c>
      <c r="Q53" s="7">
        <f t="shared" si="1"/>
        <v>1</v>
      </c>
      <c r="R53" s="7">
        <f t="shared" si="1"/>
        <v>0.79963568005507102</v>
      </c>
      <c r="S53">
        <f t="shared" si="2"/>
        <v>0.51180391949366044</v>
      </c>
    </row>
    <row r="54" spans="2:19">
      <c r="B54" s="7">
        <v>7</v>
      </c>
      <c r="C54">
        <v>75</v>
      </c>
      <c r="D54" s="7">
        <v>0.44938192465467902</v>
      </c>
      <c r="E54" s="7">
        <v>0.77851852321987303</v>
      </c>
      <c r="L54" s="7">
        <v>7</v>
      </c>
      <c r="M54">
        <v>75</v>
      </c>
      <c r="N54" s="7">
        <v>0.44938192465467902</v>
      </c>
      <c r="O54" s="7">
        <v>0.77851852321987303</v>
      </c>
      <c r="P54" s="7">
        <f t="shared" si="1"/>
        <v>1</v>
      </c>
      <c r="Q54" s="7">
        <f t="shared" si="1"/>
        <v>1</v>
      </c>
      <c r="R54" s="7">
        <f t="shared" si="1"/>
        <v>0.89983849188487908</v>
      </c>
      <c r="S54">
        <f t="shared" si="2"/>
        <v>0.51241053954955929</v>
      </c>
    </row>
    <row r="55" spans="2:19">
      <c r="B55" s="7">
        <v>7</v>
      </c>
      <c r="C55">
        <v>75</v>
      </c>
      <c r="D55" s="7">
        <v>0.49940286918974203</v>
      </c>
      <c r="E55" s="7">
        <v>0.75891443840085304</v>
      </c>
      <c r="L55" s="7">
        <v>7</v>
      </c>
      <c r="M55">
        <v>75</v>
      </c>
      <c r="N55" s="7">
        <v>0.49940286918974203</v>
      </c>
      <c r="O55" s="7">
        <v>0.75891443840085304</v>
      </c>
      <c r="P55" s="7">
        <f t="shared" si="1"/>
        <v>1</v>
      </c>
      <c r="Q55" s="7">
        <f t="shared" si="1"/>
        <v>1</v>
      </c>
      <c r="R55" s="7">
        <f t="shared" si="1"/>
        <v>1</v>
      </c>
      <c r="S55">
        <f t="shared" si="2"/>
        <v>0.52200000000000002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1C0BA-3F2D-40EB-A5D0-1D844948CF05}">
  <dimension ref="B2:U229"/>
  <sheetViews>
    <sheetView zoomScale="115" zoomScaleNormal="115" workbookViewId="0">
      <selection activeCell="C11" sqref="C11"/>
    </sheetView>
  </sheetViews>
  <sheetFormatPr defaultColWidth="8.81640625" defaultRowHeight="14.5"/>
  <sheetData>
    <row r="2" spans="2:21">
      <c r="Q2" t="s">
        <v>17</v>
      </c>
      <c r="R2" t="s">
        <v>4</v>
      </c>
      <c r="S2" t="s">
        <v>5</v>
      </c>
    </row>
    <row r="3" spans="2:21">
      <c r="Q3" t="s">
        <v>15</v>
      </c>
      <c r="R3" t="s">
        <v>16</v>
      </c>
      <c r="S3" t="s">
        <v>14</v>
      </c>
      <c r="T3" t="s">
        <v>20</v>
      </c>
      <c r="U3" t="s">
        <v>19</v>
      </c>
    </row>
    <row r="4" spans="2:21">
      <c r="Q4">
        <v>1</v>
      </c>
      <c r="R4">
        <v>0</v>
      </c>
      <c r="S4">
        <v>0</v>
      </c>
      <c r="T4">
        <v>0</v>
      </c>
      <c r="U4">
        <v>0</v>
      </c>
    </row>
    <row r="5" spans="2:21">
      <c r="Q5">
        <v>1</v>
      </c>
      <c r="R5">
        <f>R4+0.01</f>
        <v>0.01</v>
      </c>
      <c r="S5">
        <f>0.0275*(R5-EXP(Q5+R5))+0.453*EXP(R5)^0.5-0.00616*R5^2*(Q5*(Q5+2.72)+R5^0.5)-0.0446*(Q5-R5)+0.415</f>
        <v>0.75088529091634348</v>
      </c>
      <c r="T5">
        <f>R5*0.499649</f>
        <v>4.9964900000000001E-3</v>
      </c>
      <c r="U5">
        <f>S5*2.182365</f>
        <v>1.6387057779106458</v>
      </c>
    </row>
    <row r="6" spans="2:21">
      <c r="B6" t="s">
        <v>12</v>
      </c>
      <c r="C6">
        <v>75</v>
      </c>
      <c r="D6">
        <v>0.49964922226552799</v>
      </c>
      <c r="E6">
        <v>26.188382322421901</v>
      </c>
      <c r="F6">
        <v>2.1823651935351585</v>
      </c>
      <c r="G6">
        <v>499.64922226552801</v>
      </c>
      <c r="Q6">
        <v>1</v>
      </c>
      <c r="R6">
        <f t="shared" ref="R6:R69" si="0">R5+0.01</f>
        <v>0.02</v>
      </c>
      <c r="S6">
        <f t="shared" ref="S6:S69" si="1">0.0275*(R6-EXP(Q6+R6))+0.453*EXP(R6)^0.5-0.00616*R6^2*(Q6*(Q6+2.72)+R6^0.5)-0.0446*(Q6-R6)+0.415</f>
        <v>0.75312235513788806</v>
      </c>
      <c r="T6">
        <f t="shared" ref="T6:T69" si="2">R6*0.499649</f>
        <v>9.9929800000000003E-3</v>
      </c>
      <c r="U6">
        <f t="shared" ref="U6:U69" si="3">S6*2.182365</f>
        <v>1.643587868570497</v>
      </c>
    </row>
    <row r="7" spans="2:21">
      <c r="B7" t="s">
        <v>1</v>
      </c>
      <c r="C7" t="s">
        <v>4</v>
      </c>
      <c r="D7" t="s">
        <v>5</v>
      </c>
      <c r="Q7">
        <v>1</v>
      </c>
      <c r="R7">
        <f t="shared" si="0"/>
        <v>0.03</v>
      </c>
      <c r="S7">
        <f t="shared" si="1"/>
        <v>0.75535832388772828</v>
      </c>
      <c r="T7">
        <f t="shared" si="2"/>
        <v>1.498947E-2</v>
      </c>
      <c r="U7">
        <f t="shared" si="3"/>
        <v>1.648467568511242</v>
      </c>
    </row>
    <row r="8" spans="2:21">
      <c r="B8">
        <v>75</v>
      </c>
      <c r="C8">
        <v>0</v>
      </c>
      <c r="D8">
        <v>0</v>
      </c>
      <c r="F8">
        <v>65</v>
      </c>
      <c r="G8">
        <v>0</v>
      </c>
      <c r="H8">
        <v>0</v>
      </c>
      <c r="J8">
        <v>55</v>
      </c>
      <c r="K8">
        <v>0</v>
      </c>
      <c r="L8">
        <v>0</v>
      </c>
      <c r="Q8">
        <v>1</v>
      </c>
      <c r="R8">
        <f t="shared" si="0"/>
        <v>0.04</v>
      </c>
      <c r="S8">
        <f t="shared" si="1"/>
        <v>0.75759310361745236</v>
      </c>
      <c r="T8">
        <f t="shared" si="2"/>
        <v>1.9985960000000001E-2</v>
      </c>
      <c r="U8">
        <f t="shared" si="3"/>
        <v>1.6533446735761013</v>
      </c>
    </row>
    <row r="9" spans="2:21">
      <c r="B9">
        <v>75</v>
      </c>
      <c r="C9">
        <v>0.149399932172847</v>
      </c>
      <c r="D9">
        <v>1.784177292076875</v>
      </c>
      <c r="F9">
        <v>65</v>
      </c>
      <c r="G9">
        <v>0.149390821062861</v>
      </c>
      <c r="H9">
        <v>1.8059164005041417</v>
      </c>
      <c r="J9">
        <v>55</v>
      </c>
      <c r="K9">
        <v>0.148952981610743</v>
      </c>
      <c r="L9">
        <v>1.8506013332590916</v>
      </c>
      <c r="Q9">
        <v>1</v>
      </c>
      <c r="R9">
        <f t="shared" si="0"/>
        <v>0.05</v>
      </c>
      <c r="S9">
        <f t="shared" si="1"/>
        <v>0.7598266123061439</v>
      </c>
      <c r="T9">
        <f t="shared" si="2"/>
        <v>2.4982450000000003E-2</v>
      </c>
      <c r="U9">
        <f t="shared" si="3"/>
        <v>1.6582190047654977</v>
      </c>
    </row>
    <row r="10" spans="2:21">
      <c r="B10">
        <v>75</v>
      </c>
      <c r="C10">
        <v>0.19883732113119401</v>
      </c>
      <c r="D10">
        <v>1.8265672374608333</v>
      </c>
      <c r="F10">
        <v>65</v>
      </c>
      <c r="G10">
        <v>0.198823148293438</v>
      </c>
      <c r="H10">
        <v>1.8603836283477</v>
      </c>
      <c r="J10">
        <v>55</v>
      </c>
      <c r="K10">
        <v>0.19880087669124899</v>
      </c>
      <c r="L10">
        <v>1.9135236711699166</v>
      </c>
      <c r="Q10">
        <v>1</v>
      </c>
      <c r="R10">
        <f t="shared" si="0"/>
        <v>6.0000000000000005E-2</v>
      </c>
      <c r="S10">
        <f t="shared" si="1"/>
        <v>0.76205877496762064</v>
      </c>
      <c r="T10">
        <f t="shared" si="2"/>
        <v>2.9978940000000003E-2</v>
      </c>
      <c r="U10">
        <f t="shared" si="3"/>
        <v>1.6630903984322114</v>
      </c>
    </row>
    <row r="11" spans="2:21">
      <c r="B11">
        <v>75</v>
      </c>
      <c r="C11">
        <v>0.249951154327018</v>
      </c>
      <c r="D11">
        <v>1.8689612322270082</v>
      </c>
      <c r="F11">
        <v>65</v>
      </c>
      <c r="G11">
        <v>0.249513314874899</v>
      </c>
      <c r="H11">
        <v>1.9136461649819501</v>
      </c>
      <c r="J11">
        <v>55</v>
      </c>
      <c r="K11">
        <v>0.24906990752223299</v>
      </c>
      <c r="L11">
        <v>1.9716161084424499</v>
      </c>
      <c r="Q11">
        <v>1</v>
      </c>
      <c r="R11">
        <f t="shared" si="0"/>
        <v>7.0000000000000007E-2</v>
      </c>
      <c r="S11">
        <f t="shared" si="1"/>
        <v>0.76428952142110462</v>
      </c>
      <c r="T11">
        <f t="shared" si="2"/>
        <v>3.4975430000000002E-2</v>
      </c>
      <c r="U11">
        <f t="shared" si="3"/>
        <v>1.667958701416169</v>
      </c>
    </row>
    <row r="12" spans="2:21">
      <c r="B12">
        <v>75</v>
      </c>
      <c r="C12">
        <v>0.29938753093981102</v>
      </c>
      <c r="D12">
        <v>1.9137666341028832</v>
      </c>
      <c r="F12">
        <v>65</v>
      </c>
      <c r="G12">
        <v>0.29894665445103002</v>
      </c>
      <c r="H12">
        <v>1.9656979363335834</v>
      </c>
      <c r="J12">
        <v>55</v>
      </c>
      <c r="K12">
        <v>0.29933995069877101</v>
      </c>
      <c r="L12">
        <v>2.0272930892230749</v>
      </c>
      <c r="Q12">
        <v>1</v>
      </c>
      <c r="R12">
        <f t="shared" si="0"/>
        <v>0.08</v>
      </c>
      <c r="S12">
        <f t="shared" si="1"/>
        <v>0.76651878498375337</v>
      </c>
      <c r="T12">
        <f t="shared" si="2"/>
        <v>3.9971920000000001E-2</v>
      </c>
      <c r="U12">
        <f t="shared" si="3"/>
        <v>1.6728237681910689</v>
      </c>
    </row>
    <row r="13" spans="2:21">
      <c r="B13">
        <v>75</v>
      </c>
      <c r="C13">
        <v>0.34924301861197299</v>
      </c>
      <c r="D13">
        <v>1.9585730483243085</v>
      </c>
      <c r="F13">
        <v>65</v>
      </c>
      <c r="G13">
        <v>0.34963935189637602</v>
      </c>
      <c r="H13">
        <v>2.012921831738042</v>
      </c>
      <c r="J13">
        <v>55</v>
      </c>
      <c r="K13">
        <v>0.34961252473919402</v>
      </c>
      <c r="L13">
        <v>2.0769314287738916</v>
      </c>
      <c r="Q13">
        <v>1</v>
      </c>
      <c r="R13">
        <f t="shared" si="0"/>
        <v>0.09</v>
      </c>
      <c r="S13">
        <f t="shared" si="1"/>
        <v>0.76874650162316449</v>
      </c>
      <c r="T13">
        <f t="shared" si="2"/>
        <v>4.496841E-2</v>
      </c>
      <c r="U13">
        <f t="shared" si="3"/>
        <v>1.6776854590148373</v>
      </c>
    </row>
    <row r="14" spans="2:21">
      <c r="B14">
        <v>75</v>
      </c>
      <c r="C14">
        <v>0.39909800011135799</v>
      </c>
      <c r="D14">
        <v>2.0045871907917001</v>
      </c>
      <c r="F14">
        <v>65</v>
      </c>
      <c r="G14">
        <v>0.39907370381806101</v>
      </c>
      <c r="H14">
        <v>2.0625581465977585</v>
      </c>
      <c r="J14">
        <v>55</v>
      </c>
      <c r="K14">
        <v>0.399050926043095</v>
      </c>
      <c r="L14">
        <v>2.1169059176659331</v>
      </c>
      <c r="Q14">
        <v>1</v>
      </c>
      <c r="R14">
        <f t="shared" si="0"/>
        <v>9.9999999999999992E-2</v>
      </c>
      <c r="S14">
        <f t="shared" si="1"/>
        <v>0.77097260936942535</v>
      </c>
      <c r="T14">
        <f t="shared" si="2"/>
        <v>4.99649E-2</v>
      </c>
      <c r="U14">
        <f t="shared" si="3"/>
        <v>1.6825436386465058</v>
      </c>
    </row>
    <row r="15" spans="2:21">
      <c r="B15">
        <v>75</v>
      </c>
      <c r="C15">
        <v>0.44937361118844299</v>
      </c>
      <c r="D15">
        <v>2.0469791608667669</v>
      </c>
      <c r="F15">
        <v>65</v>
      </c>
      <c r="G15">
        <v>0.44976893212729202</v>
      </c>
      <c r="H15">
        <v>2.1037434007724167</v>
      </c>
      <c r="J15">
        <v>55</v>
      </c>
      <c r="K15">
        <v>0.44891603099802002</v>
      </c>
      <c r="L15">
        <v>2.1387654952141335</v>
      </c>
      <c r="Q15">
        <v>1</v>
      </c>
      <c r="R15">
        <f t="shared" si="0"/>
        <v>0.10999999999999999</v>
      </c>
      <c r="S15">
        <f t="shared" si="1"/>
        <v>0.77319704788648047</v>
      </c>
      <c r="T15">
        <f t="shared" si="2"/>
        <v>5.4961389999999992E-2</v>
      </c>
      <c r="U15">
        <f t="shared" si="3"/>
        <v>1.687398175410779</v>
      </c>
    </row>
    <row r="16" spans="2:21">
      <c r="B16">
        <v>75</v>
      </c>
      <c r="C16">
        <v>0.49964922226552799</v>
      </c>
      <c r="D16">
        <v>2.0893711309418332</v>
      </c>
      <c r="F16">
        <v>65</v>
      </c>
      <c r="G16">
        <v>0.49920935812230099</v>
      </c>
      <c r="H16">
        <v>2.1388869766806167</v>
      </c>
      <c r="J16">
        <v>55</v>
      </c>
      <c r="K16">
        <v>0.499191135902329</v>
      </c>
      <c r="L16">
        <v>2.1823651935351585</v>
      </c>
      <c r="Q16">
        <v>1</v>
      </c>
      <c r="R16">
        <f t="shared" si="0"/>
        <v>0.11999999999999998</v>
      </c>
      <c r="S16">
        <f t="shared" si="1"/>
        <v>0.77541975814752351</v>
      </c>
      <c r="T16">
        <f t="shared" si="2"/>
        <v>5.9957879999999991E-2</v>
      </c>
      <c r="U16">
        <f t="shared" si="3"/>
        <v>1.6922489404896202</v>
      </c>
    </row>
    <row r="17" spans="2:21">
      <c r="B17" s="2">
        <v>75</v>
      </c>
      <c r="C17" s="2">
        <v>0.149229521</v>
      </c>
      <c r="D17">
        <v>1.7823910483333334</v>
      </c>
      <c r="Q17">
        <v>1</v>
      </c>
      <c r="R17">
        <f t="shared" si="0"/>
        <v>0.12999999999999998</v>
      </c>
      <c r="S17">
        <f t="shared" si="1"/>
        <v>0.77764068218161153</v>
      </c>
      <c r="T17">
        <f t="shared" si="2"/>
        <v>6.4954369999999984E-2</v>
      </c>
      <c r="U17">
        <f t="shared" si="3"/>
        <v>1.6970958073692726</v>
      </c>
    </row>
    <row r="18" spans="2:21">
      <c r="B18" s="2">
        <v>75</v>
      </c>
      <c r="C18" s="2">
        <v>0.19951338199999999</v>
      </c>
      <c r="D18">
        <v>1.8247938750000001</v>
      </c>
      <c r="Q18">
        <v>1</v>
      </c>
      <c r="R18">
        <f t="shared" si="0"/>
        <v>0.13999999999999999</v>
      </c>
      <c r="S18">
        <f t="shared" si="1"/>
        <v>0.77985976287091585</v>
      </c>
      <c r="T18">
        <f t="shared" si="2"/>
        <v>6.995085999999999E-2</v>
      </c>
      <c r="U18">
        <f t="shared" si="3"/>
        <v>1.7019386513977861</v>
      </c>
    </row>
    <row r="19" spans="2:21">
      <c r="B19" s="2">
        <v>75</v>
      </c>
      <c r="C19" s="2">
        <v>0.24939172700000001</v>
      </c>
      <c r="D19">
        <v>1.8707302708333333</v>
      </c>
      <c r="Q19">
        <f>1</f>
        <v>1</v>
      </c>
      <c r="R19">
        <f t="shared" si="0"/>
        <v>0.15</v>
      </c>
      <c r="S19">
        <f t="shared" si="1"/>
        <v>0.78207694378509096</v>
      </c>
      <c r="T19">
        <f t="shared" si="2"/>
        <v>7.4947349999999996E-2</v>
      </c>
      <c r="U19">
        <f t="shared" si="3"/>
        <v>1.7067773494235499</v>
      </c>
    </row>
    <row r="20" spans="2:21">
      <c r="B20" s="2">
        <v>75</v>
      </c>
      <c r="C20" s="2">
        <v>0.29927007300000003</v>
      </c>
      <c r="D20">
        <v>1.9119552416666667</v>
      </c>
      <c r="Q20">
        <f>1</f>
        <v>1</v>
      </c>
      <c r="R20">
        <f t="shared" si="0"/>
        <v>0.16</v>
      </c>
      <c r="S20">
        <f t="shared" si="1"/>
        <v>0.78429216904356114</v>
      </c>
      <c r="T20">
        <f t="shared" si="2"/>
        <v>7.9943840000000002E-2</v>
      </c>
      <c r="U20">
        <f t="shared" si="3"/>
        <v>1.7116117794947512</v>
      </c>
    </row>
    <row r="21" spans="2:21">
      <c r="B21" s="2">
        <v>75</v>
      </c>
      <c r="C21" s="2">
        <v>0.34914841800000002</v>
      </c>
      <c r="D21">
        <v>1.9602473500000002</v>
      </c>
      <c r="Q21">
        <f>1</f>
        <v>1</v>
      </c>
      <c r="R21">
        <f t="shared" si="0"/>
        <v>0.17</v>
      </c>
      <c r="S21">
        <f t="shared" si="1"/>
        <v>0.78650538319925145</v>
      </c>
      <c r="T21">
        <f t="shared" si="2"/>
        <v>8.4940330000000008E-2</v>
      </c>
      <c r="U21">
        <f t="shared" si="3"/>
        <v>1.7164418206056342</v>
      </c>
    </row>
    <row r="22" spans="2:21">
      <c r="B22" s="2">
        <v>75</v>
      </c>
      <c r="C22" s="2">
        <v>0.399432279</v>
      </c>
      <c r="D22">
        <v>2.0026501766666667</v>
      </c>
      <c r="Q22">
        <f>1</f>
        <v>1</v>
      </c>
      <c r="R22">
        <f t="shared" si="0"/>
        <v>0.18000000000000002</v>
      </c>
      <c r="S22">
        <f t="shared" si="1"/>
        <v>0.78871653113910456</v>
      </c>
      <c r="T22">
        <f t="shared" si="2"/>
        <v>8.9936820000000015E-2</v>
      </c>
      <c r="U22">
        <f t="shared" si="3"/>
        <v>1.7212673524793918</v>
      </c>
    </row>
    <row r="23" spans="2:21">
      <c r="B23" s="2">
        <v>75</v>
      </c>
      <c r="C23" s="2">
        <v>0.44890510900000002</v>
      </c>
      <c r="D23">
        <v>2.0474087158333334</v>
      </c>
      <c r="Q23">
        <f>1</f>
        <v>1</v>
      </c>
      <c r="R23">
        <f t="shared" si="0"/>
        <v>0.19000000000000003</v>
      </c>
      <c r="S23">
        <f t="shared" si="1"/>
        <v>0.79092555799794206</v>
      </c>
      <c r="T23">
        <f t="shared" si="2"/>
        <v>9.4933310000000021E-2</v>
      </c>
      <c r="U23">
        <f t="shared" si="3"/>
        <v>1.7260882553801788</v>
      </c>
    </row>
    <row r="24" spans="2:21">
      <c r="B24" s="2">
        <v>75</v>
      </c>
      <c r="C24" s="2">
        <v>0.49918897000000001</v>
      </c>
      <c r="D24">
        <v>2.0874558300000001</v>
      </c>
      <c r="Q24">
        <f>1</f>
        <v>1</v>
      </c>
      <c r="R24">
        <f t="shared" si="0"/>
        <v>0.20000000000000004</v>
      </c>
      <c r="S24">
        <f t="shared" si="1"/>
        <v>0.79313240908308225</v>
      </c>
      <c r="T24">
        <f t="shared" si="2"/>
        <v>9.9929800000000027E-2</v>
      </c>
      <c r="U24">
        <f t="shared" si="3"/>
        <v>1.7309044099486006</v>
      </c>
    </row>
    <row r="25" spans="2:21">
      <c r="Q25">
        <f>1</f>
        <v>1</v>
      </c>
      <c r="R25">
        <f t="shared" si="0"/>
        <v>0.21000000000000005</v>
      </c>
      <c r="S25">
        <f t="shared" si="1"/>
        <v>0.79533702980773757</v>
      </c>
      <c r="T25">
        <f t="shared" si="2"/>
        <v>0.10492629000000002</v>
      </c>
      <c r="U25">
        <f t="shared" si="3"/>
        <v>1.7357156970563632</v>
      </c>
    </row>
    <row r="26" spans="2:21">
      <c r="Q26">
        <f>1</f>
        <v>1</v>
      </c>
      <c r="R26">
        <f t="shared" si="0"/>
        <v>0.22000000000000006</v>
      </c>
      <c r="S26">
        <f t="shared" si="1"/>
        <v>0.79753936563165229</v>
      </c>
      <c r="T26">
        <f t="shared" si="2"/>
        <v>0.10992278000000003</v>
      </c>
      <c r="U26">
        <f t="shared" si="3"/>
        <v>1.7405219976767208</v>
      </c>
    </row>
    <row r="27" spans="2:21">
      <c r="Q27">
        <f>1</f>
        <v>1</v>
      </c>
      <c r="R27">
        <f t="shared" si="0"/>
        <v>0.23000000000000007</v>
      </c>
      <c r="S27">
        <f t="shared" si="1"/>
        <v>0.79973936200777085</v>
      </c>
      <c r="T27">
        <f t="shared" si="2"/>
        <v>0.11491927000000003</v>
      </c>
      <c r="U27">
        <f t="shared" si="3"/>
        <v>1.7453231927680888</v>
      </c>
    </row>
    <row r="28" spans="2:21">
      <c r="Q28">
        <f>1</f>
        <v>1</v>
      </c>
      <c r="R28">
        <f t="shared" si="0"/>
        <v>0.24000000000000007</v>
      </c>
      <c r="S28">
        <f t="shared" si="1"/>
        <v>0.80193696433396844</v>
      </c>
      <c r="T28">
        <f t="shared" si="2"/>
        <v>0.11991576000000004</v>
      </c>
      <c r="U28">
        <f t="shared" si="3"/>
        <v>1.750119163168701</v>
      </c>
    </row>
    <row r="29" spans="2:21">
      <c r="Q29">
        <f>1</f>
        <v>1</v>
      </c>
      <c r="R29">
        <f t="shared" si="0"/>
        <v>0.25000000000000006</v>
      </c>
      <c r="S29">
        <f t="shared" si="1"/>
        <v>0.80413211790907169</v>
      </c>
      <c r="T29">
        <f t="shared" si="2"/>
        <v>0.12491225000000003</v>
      </c>
      <c r="U29">
        <f t="shared" si="3"/>
        <v>1.7549097895006311</v>
      </c>
    </row>
    <row r="30" spans="2:21">
      <c r="Q30">
        <f>1</f>
        <v>1</v>
      </c>
      <c r="R30">
        <f t="shared" si="0"/>
        <v>0.26000000000000006</v>
      </c>
      <c r="S30">
        <f t="shared" si="1"/>
        <v>0.80632476789252849</v>
      </c>
      <c r="T30">
        <f t="shared" si="2"/>
        <v>0.12990874000000002</v>
      </c>
      <c r="U30">
        <f t="shared" si="3"/>
        <v>1.759694952081778</v>
      </c>
    </row>
    <row r="31" spans="2:21">
      <c r="Q31" s="1">
        <f>1</f>
        <v>1</v>
      </c>
      <c r="R31" s="1">
        <f t="shared" si="0"/>
        <v>0.27000000000000007</v>
      </c>
      <c r="S31" s="1">
        <f t="shared" si="1"/>
        <v>0.80851485926721367</v>
      </c>
      <c r="T31" s="1">
        <f t="shared" si="2"/>
        <v>0.13490523000000004</v>
      </c>
      <c r="U31" s="1">
        <f t="shared" si="3"/>
        <v>1.7644745308446927</v>
      </c>
    </row>
    <row r="32" spans="2:21">
      <c r="Q32">
        <f>1</f>
        <v>1</v>
      </c>
      <c r="R32">
        <f>R31+0.01</f>
        <v>0.28000000000000008</v>
      </c>
      <c r="S32">
        <f t="shared" si="1"/>
        <v>0.81070233680493464</v>
      </c>
      <c r="T32">
        <f t="shared" si="2"/>
        <v>0.13990172000000003</v>
      </c>
      <c r="U32">
        <f t="shared" si="3"/>
        <v>1.7692484052613011</v>
      </c>
    </row>
    <row r="33" spans="17:21">
      <c r="Q33">
        <f>1</f>
        <v>1</v>
      </c>
      <c r="R33">
        <f t="shared" si="0"/>
        <v>0.29000000000000009</v>
      </c>
      <c r="S33">
        <f t="shared" si="1"/>
        <v>0.81288714503427917</v>
      </c>
      <c r="T33">
        <f t="shared" si="2"/>
        <v>0.14489821000000006</v>
      </c>
      <c r="U33">
        <f t="shared" si="3"/>
        <v>1.7740164542727346</v>
      </c>
    </row>
    <row r="34" spans="17:21">
      <c r="Q34">
        <f>1</f>
        <v>1</v>
      </c>
      <c r="R34">
        <f t="shared" si="0"/>
        <v>0.3000000000000001</v>
      </c>
      <c r="S34">
        <f t="shared" si="1"/>
        <v>0.81506922821050209</v>
      </c>
      <c r="T34">
        <f t="shared" si="2"/>
        <v>0.14989470000000005</v>
      </c>
      <c r="U34">
        <f t="shared" si="3"/>
        <v>1.7787785562236123</v>
      </c>
    </row>
    <row r="35" spans="17:21">
      <c r="Q35">
        <f>1</f>
        <v>1</v>
      </c>
      <c r="R35">
        <f t="shared" si="0"/>
        <v>0.31000000000000011</v>
      </c>
      <c r="S35">
        <f t="shared" si="1"/>
        <v>0.81724853028719613</v>
      </c>
      <c r="T35">
        <f t="shared" si="2"/>
        <v>0.15489119000000007</v>
      </c>
      <c r="U35">
        <f t="shared" si="3"/>
        <v>1.7835345888002168</v>
      </c>
    </row>
    <row r="36" spans="17:21">
      <c r="Q36">
        <f>1</f>
        <v>1</v>
      </c>
      <c r="R36">
        <f t="shared" si="0"/>
        <v>0.32000000000000012</v>
      </c>
      <c r="S36">
        <f t="shared" si="1"/>
        <v>0.81942499488952514</v>
      </c>
      <c r="T36">
        <f t="shared" si="2"/>
        <v>0.15988768000000006</v>
      </c>
      <c r="U36">
        <f t="shared" si="3"/>
        <v>1.7882844289720785</v>
      </c>
    </row>
    <row r="37" spans="17:21">
      <c r="Q37">
        <f>1</f>
        <v>1</v>
      </c>
      <c r="R37">
        <f t="shared" si="0"/>
        <v>0.33000000000000013</v>
      </c>
      <c r="S37">
        <f t="shared" si="1"/>
        <v>0.82159856528883835</v>
      </c>
      <c r="T37">
        <f t="shared" si="2"/>
        <v>0.16488417000000008</v>
      </c>
      <c r="U37">
        <f t="shared" si="3"/>
        <v>1.7930279529365756</v>
      </c>
    </row>
    <row r="38" spans="17:21">
      <c r="Q38">
        <f>1</f>
        <v>1</v>
      </c>
      <c r="R38">
        <f t="shared" si="0"/>
        <v>0.34000000000000014</v>
      </c>
      <c r="S38">
        <f t="shared" si="1"/>
        <v>0.82376918437850022</v>
      </c>
      <c r="T38">
        <f t="shared" si="2"/>
        <v>0.16988066000000007</v>
      </c>
      <c r="U38">
        <f t="shared" si="3"/>
        <v>1.7977650360661854</v>
      </c>
    </row>
    <row r="39" spans="17:21">
      <c r="Q39">
        <f>1</f>
        <v>1</v>
      </c>
      <c r="R39">
        <f t="shared" si="0"/>
        <v>0.35000000000000014</v>
      </c>
      <c r="S39">
        <f t="shared" si="1"/>
        <v>0.82593679465079872</v>
      </c>
      <c r="T39">
        <f t="shared" si="2"/>
        <v>0.17487715000000006</v>
      </c>
      <c r="U39">
        <f t="shared" si="3"/>
        <v>1.8024955528580902</v>
      </c>
    </row>
    <row r="40" spans="17:21">
      <c r="Q40">
        <f>1</f>
        <v>1</v>
      </c>
      <c r="R40">
        <f t="shared" si="0"/>
        <v>0.36000000000000015</v>
      </c>
      <c r="S40">
        <f t="shared" si="1"/>
        <v>0.82810133817481169</v>
      </c>
      <c r="T40">
        <f t="shared" si="2"/>
        <v>0.17987364000000008</v>
      </c>
      <c r="U40">
        <f t="shared" si="3"/>
        <v>1.8072193768858729</v>
      </c>
    </row>
    <row r="41" spans="17:21">
      <c r="Q41">
        <f>1</f>
        <v>1</v>
      </c>
      <c r="R41">
        <f t="shared" si="0"/>
        <v>0.37000000000000016</v>
      </c>
      <c r="S41">
        <f t="shared" si="1"/>
        <v>0.83026275657512305</v>
      </c>
      <c r="T41">
        <f t="shared" si="2"/>
        <v>0.18487013000000008</v>
      </c>
      <c r="U41">
        <f t="shared" si="3"/>
        <v>1.8119363807530684</v>
      </c>
    </row>
    <row r="42" spans="17:21">
      <c r="Q42">
        <f>1</f>
        <v>1</v>
      </c>
      <c r="R42">
        <f t="shared" si="0"/>
        <v>0.38000000000000017</v>
      </c>
      <c r="S42">
        <f t="shared" si="1"/>
        <v>0.83242099101129963</v>
      </c>
      <c r="T42">
        <f t="shared" si="2"/>
        <v>0.1898666200000001</v>
      </c>
      <c r="U42">
        <f t="shared" si="3"/>
        <v>1.8166464360483747</v>
      </c>
    </row>
    <row r="43" spans="17:21">
      <c r="Q43">
        <f>1</f>
        <v>1</v>
      </c>
      <c r="R43">
        <f t="shared" si="0"/>
        <v>0.39000000000000018</v>
      </c>
      <c r="S43">
        <f t="shared" si="1"/>
        <v>0.83457598215804474</v>
      </c>
      <c r="T43">
        <f t="shared" si="2"/>
        <v>0.19486311000000009</v>
      </c>
      <c r="U43">
        <f t="shared" si="3"/>
        <v>1.8213494133023411</v>
      </c>
    </row>
    <row r="44" spans="17:21">
      <c r="Q44">
        <f>1</f>
        <v>1</v>
      </c>
      <c r="R44">
        <f t="shared" si="0"/>
        <v>0.40000000000000019</v>
      </c>
      <c r="S44">
        <f t="shared" si="1"/>
        <v>0.83672767018595595</v>
      </c>
      <c r="T44">
        <f t="shared" si="2"/>
        <v>0.19985960000000011</v>
      </c>
      <c r="U44">
        <f t="shared" si="3"/>
        <v>1.8260451819453736</v>
      </c>
    </row>
    <row r="45" spans="17:21">
      <c r="Q45">
        <f>1</f>
        <v>1</v>
      </c>
      <c r="R45">
        <f t="shared" si="0"/>
        <v>0.4100000000000002</v>
      </c>
      <c r="S45">
        <f t="shared" si="1"/>
        <v>0.83887599474282581</v>
      </c>
      <c r="T45">
        <f t="shared" si="2"/>
        <v>0.2048560900000001</v>
      </c>
      <c r="U45">
        <f t="shared" si="3"/>
        <v>1.8307336102669269</v>
      </c>
    </row>
    <row r="46" spans="17:21">
      <c r="Q46">
        <f>1</f>
        <v>1</v>
      </c>
      <c r="R46">
        <f t="shared" si="0"/>
        <v>0.42000000000000021</v>
      </c>
      <c r="S46">
        <f t="shared" si="1"/>
        <v>0.84102089493542476</v>
      </c>
      <c r="T46">
        <f t="shared" si="2"/>
        <v>0.20985258000000009</v>
      </c>
      <c r="U46">
        <f t="shared" si="3"/>
        <v>1.8354145653757481</v>
      </c>
    </row>
    <row r="47" spans="17:21">
      <c r="Q47">
        <f>1</f>
        <v>1</v>
      </c>
      <c r="R47">
        <f t="shared" si="0"/>
        <v>0.43000000000000022</v>
      </c>
      <c r="S47">
        <f t="shared" si="1"/>
        <v>0.84316230931172043</v>
      </c>
      <c r="T47">
        <f t="shared" si="2"/>
        <v>0.21484907000000011</v>
      </c>
      <c r="U47">
        <f t="shared" si="3"/>
        <v>1.8400879131610726</v>
      </c>
    </row>
    <row r="48" spans="17:21">
      <c r="Q48">
        <f>1</f>
        <v>1</v>
      </c>
      <c r="R48">
        <f t="shared" si="0"/>
        <v>0.44000000000000022</v>
      </c>
      <c r="S48">
        <f t="shared" si="1"/>
        <v>0.84530017584348172</v>
      </c>
      <c r="T48">
        <f t="shared" si="2"/>
        <v>0.21984556000000011</v>
      </c>
      <c r="U48">
        <f t="shared" si="3"/>
        <v>1.8447535182546599</v>
      </c>
    </row>
    <row r="49" spans="17:21">
      <c r="Q49">
        <f>1</f>
        <v>1</v>
      </c>
      <c r="R49">
        <f t="shared" si="0"/>
        <v>0.45000000000000023</v>
      </c>
      <c r="S49">
        <f t="shared" si="1"/>
        <v>0.84743443190923218</v>
      </c>
      <c r="T49">
        <f t="shared" si="2"/>
        <v>0.22484205000000013</v>
      </c>
      <c r="U49">
        <f t="shared" si="3"/>
        <v>1.8494112439935915</v>
      </c>
    </row>
    <row r="50" spans="17:21">
      <c r="Q50">
        <f>1</f>
        <v>1</v>
      </c>
      <c r="R50">
        <f t="shared" si="0"/>
        <v>0.46000000000000024</v>
      </c>
      <c r="S50">
        <f t="shared" si="1"/>
        <v>0.84956501427751197</v>
      </c>
      <c r="T50">
        <f t="shared" si="2"/>
        <v>0.22983854000000012</v>
      </c>
      <c r="U50">
        <f t="shared" si="3"/>
        <v>1.8540609523837424</v>
      </c>
    </row>
    <row r="51" spans="17:21">
      <c r="Q51">
        <f>1</f>
        <v>1</v>
      </c>
      <c r="R51">
        <f t="shared" si="0"/>
        <v>0.47000000000000025</v>
      </c>
      <c r="S51">
        <f t="shared" si="1"/>
        <v>0.85169185909041778</v>
      </c>
      <c r="T51">
        <f t="shared" si="2"/>
        <v>0.23483503000000014</v>
      </c>
      <c r="U51">
        <f t="shared" si="3"/>
        <v>1.8587025040638594</v>
      </c>
    </row>
    <row r="52" spans="17:21">
      <c r="Q52">
        <f>1</f>
        <v>1</v>
      </c>
      <c r="R52">
        <f t="shared" si="0"/>
        <v>0.48000000000000026</v>
      </c>
      <c r="S52">
        <f t="shared" si="1"/>
        <v>0.85381490184738917</v>
      </c>
      <c r="T52">
        <f t="shared" si="2"/>
        <v>0.23983152000000013</v>
      </c>
      <c r="U52">
        <f t="shared" si="3"/>
        <v>1.8633357582701773</v>
      </c>
    </row>
    <row r="53" spans="17:21">
      <c r="Q53">
        <f>1</f>
        <v>1</v>
      </c>
      <c r="R53">
        <f t="shared" si="0"/>
        <v>0.49000000000000027</v>
      </c>
      <c r="S53">
        <f t="shared" si="1"/>
        <v>0.85593407738921301</v>
      </c>
      <c r="T53">
        <f t="shared" si="2"/>
        <v>0.24482801000000015</v>
      </c>
      <c r="U53">
        <f t="shared" si="3"/>
        <v>1.8679605728015098</v>
      </c>
    </row>
    <row r="54" spans="17:21">
      <c r="Q54">
        <f>1</f>
        <v>1</v>
      </c>
      <c r="R54">
        <f t="shared" si="0"/>
        <v>0.50000000000000022</v>
      </c>
      <c r="S54">
        <f t="shared" si="1"/>
        <v>0.85804931988222277</v>
      </c>
      <c r="T54">
        <f t="shared" si="2"/>
        <v>0.24982450000000012</v>
      </c>
      <c r="U54">
        <f t="shared" si="3"/>
        <v>1.872576803984767</v>
      </c>
    </row>
    <row r="55" spans="17:21">
      <c r="Q55">
        <f>1</f>
        <v>1</v>
      </c>
      <c r="R55">
        <f t="shared" si="0"/>
        <v>0.51000000000000023</v>
      </c>
      <c r="S55">
        <f t="shared" si="1"/>
        <v>0.86016056280267061</v>
      </c>
      <c r="T55">
        <f t="shared" si="2"/>
        <v>0.25482099000000014</v>
      </c>
      <c r="U55">
        <f t="shared" si="3"/>
        <v>1.8771843066408502</v>
      </c>
    </row>
    <row r="56" spans="17:21">
      <c r="Q56">
        <f>1</f>
        <v>1</v>
      </c>
      <c r="R56">
        <f t="shared" si="0"/>
        <v>0.52000000000000024</v>
      </c>
      <c r="S56">
        <f t="shared" si="1"/>
        <v>0.86226773892124653</v>
      </c>
      <c r="T56">
        <f t="shared" si="2"/>
        <v>0.2598174800000001</v>
      </c>
      <c r="U56">
        <f t="shared" si="3"/>
        <v>1.8817829340508661</v>
      </c>
    </row>
    <row r="57" spans="17:21">
      <c r="Q57">
        <f>1</f>
        <v>1</v>
      </c>
      <c r="R57">
        <f t="shared" si="0"/>
        <v>0.53000000000000025</v>
      </c>
      <c r="S57">
        <f t="shared" si="1"/>
        <v>0.8643707802877314</v>
      </c>
      <c r="T57">
        <f t="shared" si="2"/>
        <v>0.26481397000000012</v>
      </c>
      <c r="U57">
        <f t="shared" si="3"/>
        <v>1.8863725379226348</v>
      </c>
    </row>
    <row r="58" spans="17:21">
      <c r="Q58">
        <f>1</f>
        <v>1</v>
      </c>
      <c r="R58">
        <f t="shared" si="0"/>
        <v>0.54000000000000026</v>
      </c>
      <c r="S58">
        <f t="shared" si="1"/>
        <v>0.86646961821576374</v>
      </c>
      <c r="T58">
        <f t="shared" si="2"/>
        <v>0.26981046000000014</v>
      </c>
      <c r="U58">
        <f t="shared" si="3"/>
        <v>1.8909529683574451</v>
      </c>
    </row>
    <row r="59" spans="17:21">
      <c r="Q59">
        <f>1</f>
        <v>1</v>
      </c>
      <c r="R59">
        <f t="shared" si="0"/>
        <v>0.55000000000000027</v>
      </c>
      <c r="S59">
        <f t="shared" si="1"/>
        <v>0.86856418326770179</v>
      </c>
      <c r="T59">
        <f t="shared" si="2"/>
        <v>0.27480695000000016</v>
      </c>
      <c r="U59">
        <f t="shared" si="3"/>
        <v>1.895524073817018</v>
      </c>
    </row>
    <row r="60" spans="17:21">
      <c r="Q60">
        <f>1</f>
        <v>1</v>
      </c>
      <c r="R60">
        <f t="shared" si="0"/>
        <v>0.56000000000000028</v>
      </c>
      <c r="S60">
        <f t="shared" si="1"/>
        <v>0.8706544052395695</v>
      </c>
      <c r="T60">
        <f t="shared" si="2"/>
        <v>0.27980344000000013</v>
      </c>
      <c r="U60">
        <f t="shared" si="3"/>
        <v>1.9000857010906529</v>
      </c>
    </row>
    <row r="61" spans="17:21">
      <c r="Q61">
        <f>1</f>
        <v>1</v>
      </c>
      <c r="R61">
        <f t="shared" si="0"/>
        <v>0.57000000000000028</v>
      </c>
      <c r="S61">
        <f t="shared" si="1"/>
        <v>0.8727402131460702</v>
      </c>
      <c r="T61">
        <f t="shared" si="2"/>
        <v>0.28479993000000015</v>
      </c>
      <c r="U61">
        <f t="shared" si="3"/>
        <v>1.9046376952625235</v>
      </c>
    </row>
    <row r="62" spans="17:21">
      <c r="Q62">
        <f>1</f>
        <v>1</v>
      </c>
      <c r="R62">
        <f t="shared" si="0"/>
        <v>0.58000000000000029</v>
      </c>
      <c r="S62">
        <f t="shared" si="1"/>
        <v>0.87482153520565697</v>
      </c>
      <c r="T62">
        <f t="shared" si="2"/>
        <v>0.28979642000000017</v>
      </c>
      <c r="U62">
        <f t="shared" si="3"/>
        <v>1.9091798996790934</v>
      </c>
    </row>
    <row r="63" spans="17:21">
      <c r="Q63">
        <f>1</f>
        <v>1</v>
      </c>
      <c r="R63">
        <f t="shared" si="0"/>
        <v>0.5900000000000003</v>
      </c>
      <c r="S63">
        <f t="shared" si="1"/>
        <v>0.87689829882564418</v>
      </c>
      <c r="T63">
        <f t="shared" si="2"/>
        <v>0.29479291000000013</v>
      </c>
      <c r="U63">
        <f t="shared" si="3"/>
        <v>1.9137121559166268</v>
      </c>
    </row>
    <row r="64" spans="17:21">
      <c r="Q64">
        <f>1</f>
        <v>1</v>
      </c>
      <c r="R64">
        <f t="shared" si="0"/>
        <v>0.60000000000000031</v>
      </c>
      <c r="S64">
        <f t="shared" si="1"/>
        <v>0.87897043058735391</v>
      </c>
      <c r="T64">
        <f t="shared" si="2"/>
        <v>0.29978940000000015</v>
      </c>
      <c r="U64">
        <f t="shared" si="3"/>
        <v>1.9182343037487706</v>
      </c>
    </row>
    <row r="65" spans="17:21">
      <c r="Q65">
        <f>1</f>
        <v>1</v>
      </c>
      <c r="R65">
        <f t="shared" si="0"/>
        <v>0.61000000000000032</v>
      </c>
      <c r="S65">
        <f t="shared" si="1"/>
        <v>0.88103785623128261</v>
      </c>
      <c r="T65">
        <f t="shared" si="2"/>
        <v>0.30478589000000017</v>
      </c>
      <c r="U65">
        <f t="shared" si="3"/>
        <v>1.9227461811141831</v>
      </c>
    </row>
    <row r="66" spans="17:21">
      <c r="Q66">
        <f>1</f>
        <v>1</v>
      </c>
      <c r="R66">
        <f t="shared" si="0"/>
        <v>0.62000000000000033</v>
      </c>
      <c r="S66">
        <f t="shared" si="1"/>
        <v>0.88310050064227985</v>
      </c>
      <c r="T66">
        <f t="shared" si="2"/>
        <v>0.30978238000000019</v>
      </c>
      <c r="U66">
        <f t="shared" si="3"/>
        <v>1.9272476240841889</v>
      </c>
    </row>
    <row r="67" spans="17:21">
      <c r="Q67">
        <f>1</f>
        <v>1</v>
      </c>
      <c r="R67">
        <f t="shared" si="0"/>
        <v>0.63000000000000034</v>
      </c>
      <c r="S67">
        <f t="shared" si="1"/>
        <v>0.88515828783473149</v>
      </c>
      <c r="T67">
        <f t="shared" si="2"/>
        <v>0.31477887000000015</v>
      </c>
      <c r="U67">
        <f t="shared" si="3"/>
        <v>1.9317384668304436</v>
      </c>
    </row>
    <row r="68" spans="17:21">
      <c r="Q68">
        <f>1</f>
        <v>1</v>
      </c>
      <c r="R68">
        <f t="shared" si="0"/>
        <v>0.64000000000000035</v>
      </c>
      <c r="S68">
        <f t="shared" si="1"/>
        <v>0.88721114093773479</v>
      </c>
      <c r="T68">
        <f t="shared" si="2"/>
        <v>0.31977536000000018</v>
      </c>
      <c r="U68">
        <f t="shared" si="3"/>
        <v>1.9362185415925794</v>
      </c>
    </row>
    <row r="69" spans="17:21">
      <c r="Q69">
        <f>1</f>
        <v>1</v>
      </c>
      <c r="R69">
        <f t="shared" si="0"/>
        <v>0.65000000000000036</v>
      </c>
      <c r="S69">
        <f t="shared" si="1"/>
        <v>0.88925898218026256</v>
      </c>
      <c r="T69">
        <f t="shared" si="2"/>
        <v>0.3247718500000002</v>
      </c>
      <c r="U69">
        <f t="shared" si="3"/>
        <v>1.9406876786458287</v>
      </c>
    </row>
    <row r="70" spans="17:21">
      <c r="Q70">
        <f>1</f>
        <v>1</v>
      </c>
      <c r="R70">
        <f t="shared" ref="R70:R133" si="4">R69+0.01</f>
        <v>0.66000000000000036</v>
      </c>
      <c r="S70">
        <f t="shared" ref="S70:S133" si="5">0.0275*(R70-EXP(Q70+R70))+0.453*EXP(R70)^0.5-0.00616*R70^2*(Q70*(Q70+2.72)+R70^0.5)-0.0446*(Q70-R70)+0.415</f>
        <v>0.89130173287630221</v>
      </c>
      <c r="T70">
        <f t="shared" ref="T70:T133" si="6">R70*0.499649</f>
        <v>0.32976834000000022</v>
      </c>
      <c r="U70">
        <f t="shared" ref="U70:U133" si="7">S70*2.182365</f>
        <v>1.9451457062685911</v>
      </c>
    </row>
    <row r="71" spans="17:21">
      <c r="Q71">
        <f>1</f>
        <v>1</v>
      </c>
      <c r="R71">
        <f t="shared" si="4"/>
        <v>0.67000000000000037</v>
      </c>
      <c r="S71">
        <f t="shared" si="5"/>
        <v>0.89333931340997075</v>
      </c>
      <c r="T71">
        <f t="shared" si="6"/>
        <v>0.33476483000000018</v>
      </c>
      <c r="U71">
        <f t="shared" si="7"/>
        <v>1.9495924507099507</v>
      </c>
    </row>
    <row r="72" spans="17:21">
      <c r="Q72">
        <f>1</f>
        <v>1</v>
      </c>
      <c r="R72">
        <f t="shared" si="4"/>
        <v>0.68000000000000038</v>
      </c>
      <c r="S72">
        <f t="shared" si="5"/>
        <v>0.89537164322058982</v>
      </c>
      <c r="T72">
        <f t="shared" si="6"/>
        <v>0.3397613200000002</v>
      </c>
      <c r="U72">
        <f t="shared" si="7"/>
        <v>1.9540277361571023</v>
      </c>
    </row>
    <row r="73" spans="17:21">
      <c r="Q73">
        <f>1</f>
        <v>1</v>
      </c>
      <c r="R73">
        <f t="shared" si="4"/>
        <v>0.69000000000000039</v>
      </c>
      <c r="S73">
        <f t="shared" si="5"/>
        <v>0.89739864078772213</v>
      </c>
      <c r="T73">
        <f t="shared" si="6"/>
        <v>0.34475781000000022</v>
      </c>
      <c r="U73">
        <f t="shared" si="7"/>
        <v>1.9584513847026972</v>
      </c>
    </row>
    <row r="74" spans="17:21">
      <c r="Q74">
        <f>1</f>
        <v>1</v>
      </c>
      <c r="R74">
        <f t="shared" si="4"/>
        <v>0.7000000000000004</v>
      </c>
      <c r="S74">
        <f t="shared" si="5"/>
        <v>0.89942022361615703</v>
      </c>
      <c r="T74">
        <f t="shared" si="6"/>
        <v>0.34975430000000018</v>
      </c>
      <c r="U74">
        <f t="shared" si="7"/>
        <v>1.9628632163120745</v>
      </c>
    </row>
    <row r="75" spans="17:21">
      <c r="Q75">
        <f>1</f>
        <v>1</v>
      </c>
      <c r="R75">
        <f t="shared" si="4"/>
        <v>0.71000000000000041</v>
      </c>
      <c r="S75">
        <f t="shared" si="5"/>
        <v>0.90143630822084497</v>
      </c>
      <c r="T75">
        <f t="shared" si="6"/>
        <v>0.3547507900000002</v>
      </c>
      <c r="U75">
        <f t="shared" si="7"/>
        <v>1.9672630487903842</v>
      </c>
    </row>
    <row r="76" spans="17:21">
      <c r="Q76">
        <f>1</f>
        <v>1</v>
      </c>
      <c r="R76">
        <f t="shared" si="4"/>
        <v>0.72000000000000042</v>
      </c>
      <c r="S76">
        <f t="shared" si="5"/>
        <v>0.90344681011176908</v>
      </c>
      <c r="T76">
        <f t="shared" si="6"/>
        <v>0.35974728000000022</v>
      </c>
      <c r="U76">
        <f t="shared" si="7"/>
        <v>1.9716506977495709</v>
      </c>
    </row>
    <row r="77" spans="17:21">
      <c r="Q77">
        <f>1</f>
        <v>1</v>
      </c>
      <c r="R77">
        <f t="shared" si="4"/>
        <v>0.73000000000000043</v>
      </c>
      <c r="S77">
        <f t="shared" si="5"/>
        <v>0.90545164377875453</v>
      </c>
      <c r="T77">
        <f t="shared" si="6"/>
        <v>0.36474377000000024</v>
      </c>
      <c r="U77">
        <f t="shared" si="7"/>
        <v>1.9760259765752215</v>
      </c>
    </row>
    <row r="78" spans="17:21">
      <c r="Q78">
        <f>1</f>
        <v>1</v>
      </c>
      <c r="R78">
        <f t="shared" si="4"/>
        <v>0.74000000000000044</v>
      </c>
      <c r="S78">
        <f t="shared" si="5"/>
        <v>0.90745072267620708</v>
      </c>
      <c r="T78">
        <f t="shared" si="6"/>
        <v>0.36974026000000021</v>
      </c>
      <c r="U78">
        <f t="shared" si="7"/>
        <v>1.9803886963932607</v>
      </c>
    </row>
    <row r="79" spans="17:21">
      <c r="Q79">
        <f>1</f>
        <v>1</v>
      </c>
      <c r="R79">
        <f t="shared" si="4"/>
        <v>0.75000000000000044</v>
      </c>
      <c r="S79">
        <f t="shared" si="5"/>
        <v>0.90944395920777454</v>
      </c>
      <c r="T79">
        <f t="shared" si="6"/>
        <v>0.37473675000000023</v>
      </c>
      <c r="U79">
        <f t="shared" si="7"/>
        <v>1.9847386660364748</v>
      </c>
    </row>
    <row r="80" spans="17:21">
      <c r="Q80">
        <f>1</f>
        <v>1</v>
      </c>
      <c r="R80">
        <f t="shared" si="4"/>
        <v>0.76000000000000045</v>
      </c>
      <c r="S80">
        <f t="shared" si="5"/>
        <v>0.91143126471093239</v>
      </c>
      <c r="T80">
        <f t="shared" si="6"/>
        <v>0.37973324000000025</v>
      </c>
      <c r="U80">
        <f t="shared" si="7"/>
        <v>1.9890756920108739</v>
      </c>
    </row>
    <row r="81" spans="17:21">
      <c r="Q81">
        <f>1</f>
        <v>1</v>
      </c>
      <c r="R81">
        <f t="shared" si="4"/>
        <v>0.77000000000000046</v>
      </c>
      <c r="S81">
        <f t="shared" si="5"/>
        <v>0.91341254944148154</v>
      </c>
      <c r="T81">
        <f t="shared" si="6"/>
        <v>0.38472973000000021</v>
      </c>
      <c r="U81">
        <f t="shared" si="7"/>
        <v>1.9933995784618588</v>
      </c>
    </row>
    <row r="82" spans="17:21">
      <c r="Q82">
        <f>1</f>
        <v>1</v>
      </c>
      <c r="R82">
        <f t="shared" si="4"/>
        <v>0.78000000000000047</v>
      </c>
      <c r="S82">
        <f t="shared" si="5"/>
        <v>0.91538772255795919</v>
      </c>
      <c r="T82">
        <f t="shared" si="6"/>
        <v>0.38972622000000023</v>
      </c>
      <c r="U82">
        <f t="shared" si="7"/>
        <v>1.9977101271402005</v>
      </c>
    </row>
    <row r="83" spans="17:21">
      <c r="Q83">
        <f>1</f>
        <v>1</v>
      </c>
      <c r="R83">
        <f t="shared" si="4"/>
        <v>0.79000000000000048</v>
      </c>
      <c r="S83">
        <f t="shared" si="5"/>
        <v>0.91735669210595683</v>
      </c>
      <c r="T83">
        <f t="shared" si="6"/>
        <v>0.39472271000000025</v>
      </c>
      <c r="U83">
        <f t="shared" si="7"/>
        <v>2.0020071373678165</v>
      </c>
    </row>
    <row r="84" spans="17:21">
      <c r="Q84">
        <f>1</f>
        <v>1</v>
      </c>
      <c r="R84">
        <f t="shared" si="4"/>
        <v>0.80000000000000049</v>
      </c>
      <c r="S84">
        <f t="shared" si="5"/>
        <v>0.91931936500234168</v>
      </c>
      <c r="T84">
        <f t="shared" si="6"/>
        <v>0.39971920000000027</v>
      </c>
      <c r="U84">
        <f t="shared" si="7"/>
        <v>2.0062904060033353</v>
      </c>
    </row>
    <row r="85" spans="17:21">
      <c r="Q85">
        <f>1</f>
        <v>1</v>
      </c>
      <c r="R85">
        <f t="shared" si="4"/>
        <v>0.8100000000000005</v>
      </c>
      <c r="S85">
        <f t="shared" si="5"/>
        <v>0.9212756470193737</v>
      </c>
      <c r="T85">
        <f t="shared" si="6"/>
        <v>0.40471569000000024</v>
      </c>
      <c r="U85">
        <f t="shared" si="7"/>
        <v>2.0105597274074354</v>
      </c>
    </row>
    <row r="86" spans="17:21">
      <c r="Q86">
        <f>1</f>
        <v>1</v>
      </c>
      <c r="R86">
        <f t="shared" si="4"/>
        <v>0.82000000000000051</v>
      </c>
      <c r="S86">
        <f t="shared" si="5"/>
        <v>0.92322544276872476</v>
      </c>
      <c r="T86">
        <f t="shared" si="6"/>
        <v>0.40971218000000026</v>
      </c>
      <c r="U86">
        <f t="shared" si="7"/>
        <v>2.0148148934079679</v>
      </c>
    </row>
    <row r="87" spans="17:21">
      <c r="Q87">
        <f>1</f>
        <v>1</v>
      </c>
      <c r="R87">
        <f t="shared" si="4"/>
        <v>0.83000000000000052</v>
      </c>
      <c r="S87">
        <f t="shared" si="5"/>
        <v>0.92516865568538198</v>
      </c>
      <c r="T87">
        <f t="shared" si="6"/>
        <v>0.41470867000000028</v>
      </c>
      <c r="U87">
        <f t="shared" si="7"/>
        <v>2.0190556932648285</v>
      </c>
    </row>
    <row r="88" spans="17:21">
      <c r="Q88">
        <f>1</f>
        <v>1</v>
      </c>
      <c r="R88">
        <f t="shared" si="4"/>
        <v>0.84000000000000052</v>
      </c>
      <c r="S88">
        <f t="shared" si="5"/>
        <v>0.92710518801144337</v>
      </c>
      <c r="T88">
        <f t="shared" si="6"/>
        <v>0.41970516000000024</v>
      </c>
      <c r="U88">
        <f t="shared" si="7"/>
        <v>2.0232819136345936</v>
      </c>
    </row>
    <row r="89" spans="17:21">
      <c r="Q89">
        <f>1</f>
        <v>1</v>
      </c>
      <c r="R89">
        <f t="shared" si="4"/>
        <v>0.85000000000000053</v>
      </c>
      <c r="S89">
        <f t="shared" si="5"/>
        <v>0.92903494077979754</v>
      </c>
      <c r="T89">
        <f t="shared" si="6"/>
        <v>0.42470165000000026</v>
      </c>
      <c r="U89">
        <f t="shared" si="7"/>
        <v>2.0274933385349025</v>
      </c>
    </row>
    <row r="90" spans="17:21">
      <c r="Q90">
        <f>1</f>
        <v>1</v>
      </c>
      <c r="R90">
        <f t="shared" si="4"/>
        <v>0.86000000000000054</v>
      </c>
      <c r="S90">
        <f t="shared" si="5"/>
        <v>0.93095781379768083</v>
      </c>
      <c r="T90">
        <f t="shared" si="6"/>
        <v>0.42969814000000028</v>
      </c>
      <c r="U90">
        <f t="shared" si="7"/>
        <v>2.0316897493085757</v>
      </c>
    </row>
    <row r="91" spans="17:21">
      <c r="Q91">
        <f>1</f>
        <v>1</v>
      </c>
      <c r="R91">
        <f t="shared" si="4"/>
        <v>0.87000000000000055</v>
      </c>
      <c r="S91">
        <f t="shared" si="5"/>
        <v>0.93287370563011751</v>
      </c>
      <c r="T91">
        <f t="shared" si="6"/>
        <v>0.4346946300000003</v>
      </c>
      <c r="U91">
        <f t="shared" si="7"/>
        <v>2.0358709245874711</v>
      </c>
    </row>
    <row r="92" spans="17:21">
      <c r="Q92">
        <f>1</f>
        <v>1</v>
      </c>
      <c r="R92">
        <f t="shared" si="4"/>
        <v>0.88000000000000056</v>
      </c>
      <c r="S92">
        <f t="shared" si="5"/>
        <v>0.93478251358322906</v>
      </c>
      <c r="T92">
        <f t="shared" si="6"/>
        <v>0.43969112000000027</v>
      </c>
      <c r="U92">
        <f t="shared" si="7"/>
        <v>2.0400366402560635</v>
      </c>
    </row>
    <row r="93" spans="17:21">
      <c r="Q93">
        <f>1</f>
        <v>1</v>
      </c>
      <c r="R93">
        <f t="shared" si="4"/>
        <v>0.89000000000000057</v>
      </c>
      <c r="S93">
        <f t="shared" si="5"/>
        <v>0.93668413368741721</v>
      </c>
      <c r="T93">
        <f t="shared" si="6"/>
        <v>0.44468761000000029</v>
      </c>
      <c r="U93">
        <f t="shared" si="7"/>
        <v>2.0441866694147404</v>
      </c>
    </row>
    <row r="94" spans="17:21">
      <c r="Q94">
        <f>1</f>
        <v>1</v>
      </c>
      <c r="R94">
        <f t="shared" si="4"/>
        <v>0.90000000000000058</v>
      </c>
      <c r="S94">
        <f t="shared" si="5"/>
        <v>0.93857846068041395</v>
      </c>
      <c r="T94">
        <f t="shared" si="6"/>
        <v>0.44968410000000031</v>
      </c>
      <c r="U94">
        <f t="shared" si="7"/>
        <v>2.0483207823428113</v>
      </c>
    </row>
    <row r="95" spans="17:21">
      <c r="Q95">
        <f>1</f>
        <v>1</v>
      </c>
      <c r="R95">
        <f t="shared" si="4"/>
        <v>0.91000000000000059</v>
      </c>
      <c r="S95">
        <f t="shared" si="5"/>
        <v>0.94046538799019652</v>
      </c>
      <c r="T95">
        <f t="shared" si="6"/>
        <v>0.45468059000000033</v>
      </c>
      <c r="U95">
        <f t="shared" si="7"/>
        <v>2.0524387464612253</v>
      </c>
    </row>
    <row r="96" spans="17:21">
      <c r="Q96">
        <f>1</f>
        <v>1</v>
      </c>
      <c r="R96">
        <f t="shared" si="4"/>
        <v>0.9200000000000006</v>
      </c>
      <c r="S96">
        <f t="shared" si="5"/>
        <v>0.94234480771776385</v>
      </c>
      <c r="T96">
        <f t="shared" si="6"/>
        <v>0.45967708000000029</v>
      </c>
      <c r="U96">
        <f t="shared" si="7"/>
        <v>2.0565403262949777</v>
      </c>
    </row>
    <row r="97" spans="17:21">
      <c r="Q97">
        <f>1</f>
        <v>1</v>
      </c>
      <c r="R97">
        <f t="shared" si="4"/>
        <v>0.9300000000000006</v>
      </c>
      <c r="S97">
        <f t="shared" si="5"/>
        <v>0.94421661061977091</v>
      </c>
      <c r="T97">
        <f t="shared" si="6"/>
        <v>0.46467357000000031</v>
      </c>
      <c r="U97">
        <f t="shared" si="7"/>
        <v>2.0606252834352161</v>
      </c>
    </row>
    <row r="98" spans="17:21">
      <c r="Q98">
        <f>1</f>
        <v>1</v>
      </c>
      <c r="R98">
        <f t="shared" si="4"/>
        <v>0.94000000000000061</v>
      </c>
      <c r="S98">
        <f t="shared" si="5"/>
        <v>0.94608068609101914</v>
      </c>
      <c r="T98">
        <f t="shared" si="6"/>
        <v>0.46967006000000033</v>
      </c>
      <c r="U98">
        <f t="shared" si="7"/>
        <v>2.0646933765010269</v>
      </c>
    </row>
    <row r="99" spans="17:21">
      <c r="Q99">
        <f>1</f>
        <v>1</v>
      </c>
      <c r="R99">
        <f t="shared" si="4"/>
        <v>0.95000000000000062</v>
      </c>
      <c r="S99">
        <f t="shared" si="5"/>
        <v>0.94793692214680125</v>
      </c>
      <c r="T99">
        <f t="shared" si="6"/>
        <v>0.4746665500000003</v>
      </c>
      <c r="U99">
        <f t="shared" si="7"/>
        <v>2.068744361100904</v>
      </c>
    </row>
    <row r="100" spans="17:21">
      <c r="Q100">
        <f>1</f>
        <v>1</v>
      </c>
      <c r="R100">
        <f t="shared" si="4"/>
        <v>0.96000000000000063</v>
      </c>
      <c r="S100">
        <f t="shared" si="5"/>
        <v>0.94978520540509104</v>
      </c>
      <c r="T100">
        <f t="shared" si="6"/>
        <v>0.47966304000000032</v>
      </c>
      <c r="U100">
        <f t="shared" si="7"/>
        <v>2.0727779897938814</v>
      </c>
    </row>
    <row r="101" spans="17:21">
      <c r="Q101">
        <f>1</f>
        <v>1</v>
      </c>
      <c r="R101">
        <f t="shared" si="4"/>
        <v>0.97000000000000064</v>
      </c>
      <c r="S101">
        <f t="shared" si="5"/>
        <v>0.95162542106858683</v>
      </c>
      <c r="T101">
        <f t="shared" si="6"/>
        <v>0.48465953000000034</v>
      </c>
      <c r="U101">
        <f t="shared" si="7"/>
        <v>2.0767940120503465</v>
      </c>
    </row>
    <row r="102" spans="17:21">
      <c r="Q102">
        <f>1</f>
        <v>1</v>
      </c>
      <c r="R102">
        <f t="shared" si="4"/>
        <v>0.98000000000000065</v>
      </c>
      <c r="S102">
        <f t="shared" si="5"/>
        <v>0.95345745290659178</v>
      </c>
      <c r="T102">
        <f t="shared" si="6"/>
        <v>0.48965602000000036</v>
      </c>
      <c r="U102">
        <f t="shared" si="7"/>
        <v>2.080792174212494</v>
      </c>
    </row>
    <row r="103" spans="17:21">
      <c r="Q103">
        <f>1</f>
        <v>1</v>
      </c>
      <c r="R103">
        <f t="shared" si="4"/>
        <v>0.99000000000000066</v>
      </c>
      <c r="S103">
        <f t="shared" si="5"/>
        <v>0.9552811832367416</v>
      </c>
      <c r="T103">
        <f t="shared" si="6"/>
        <v>0.49465251000000032</v>
      </c>
      <c r="U103">
        <f t="shared" si="7"/>
        <v>2.0847722194544516</v>
      </c>
    </row>
    <row r="104" spans="17:21">
      <c r="Q104">
        <f>1</f>
        <v>1</v>
      </c>
      <c r="R104">
        <f t="shared" si="4"/>
        <v>1.0000000000000007</v>
      </c>
      <c r="S104">
        <f t="shared" si="5"/>
        <v>0.95709649290656529</v>
      </c>
      <c r="T104">
        <f t="shared" si="6"/>
        <v>0.49964900000000034</v>
      </c>
      <c r="U104">
        <f t="shared" si="7"/>
        <v>2.0887338877420363</v>
      </c>
    </row>
    <row r="105" spans="17:21">
      <c r="Q105">
        <f>1</f>
        <v>1</v>
      </c>
      <c r="R105">
        <f t="shared" si="4"/>
        <v>1.0100000000000007</v>
      </c>
      <c r="S105">
        <f t="shared" si="5"/>
        <v>0.95890326127488668</v>
      </c>
      <c r="T105">
        <f t="shared" si="6"/>
        <v>0.50464549000000036</v>
      </c>
      <c r="U105">
        <f t="shared" si="7"/>
        <v>2.0926769157921679</v>
      </c>
    </row>
    <row r="106" spans="17:21">
      <c r="Q106">
        <f>1</f>
        <v>1</v>
      </c>
      <c r="R106">
        <f t="shared" si="4"/>
        <v>1.0200000000000007</v>
      </c>
      <c r="S106">
        <f t="shared" si="5"/>
        <v>0.9607013661930548</v>
      </c>
      <c r="T106">
        <f t="shared" si="6"/>
        <v>0.50964198000000038</v>
      </c>
      <c r="U106">
        <f t="shared" si="7"/>
        <v>2.0966010370319057</v>
      </c>
    </row>
    <row r="107" spans="17:21">
      <c r="Q107">
        <f>1</f>
        <v>1</v>
      </c>
      <c r="R107">
        <f t="shared" si="4"/>
        <v>1.0300000000000007</v>
      </c>
      <c r="S107">
        <f t="shared" si="5"/>
        <v>0.96249068398600524</v>
      </c>
      <c r="T107">
        <f t="shared" si="6"/>
        <v>0.5146384700000004</v>
      </c>
      <c r="U107">
        <f t="shared" si="7"/>
        <v>2.1005059815571183</v>
      </c>
    </row>
    <row r="108" spans="17:21">
      <c r="Q108">
        <f>1</f>
        <v>1</v>
      </c>
      <c r="R108">
        <f t="shared" si="4"/>
        <v>1.0400000000000007</v>
      </c>
      <c r="S108">
        <f t="shared" si="5"/>
        <v>0.96427108943315187</v>
      </c>
      <c r="T108">
        <f t="shared" si="6"/>
        <v>0.51963496000000031</v>
      </c>
      <c r="U108">
        <f t="shared" si="7"/>
        <v>2.1043914760907803</v>
      </c>
    </row>
    <row r="109" spans="17:21">
      <c r="Q109">
        <f>1</f>
        <v>1</v>
      </c>
      <c r="R109">
        <f t="shared" si="4"/>
        <v>1.0500000000000007</v>
      </c>
      <c r="S109">
        <f t="shared" si="5"/>
        <v>0.96604245574909831</v>
      </c>
      <c r="T109">
        <f t="shared" si="6"/>
        <v>0.52463145000000033</v>
      </c>
      <c r="U109">
        <f t="shared" si="7"/>
        <v>2.1082572439408809</v>
      </c>
    </row>
    <row r="110" spans="17:21">
      <c r="Q110">
        <f>1</f>
        <v>1</v>
      </c>
      <c r="R110">
        <f t="shared" si="4"/>
        <v>1.0600000000000007</v>
      </c>
      <c r="S110">
        <f t="shared" si="5"/>
        <v>0.96780465456417586</v>
      </c>
      <c r="T110">
        <f t="shared" si="6"/>
        <v>0.52962794000000035</v>
      </c>
      <c r="U110">
        <f t="shared" si="7"/>
        <v>2.1121030049579477</v>
      </c>
    </row>
    <row r="111" spans="17:21">
      <c r="Q111">
        <f>1</f>
        <v>1</v>
      </c>
      <c r="R111">
        <f t="shared" si="4"/>
        <v>1.0700000000000007</v>
      </c>
      <c r="S111">
        <f t="shared" si="5"/>
        <v>0.96955755590479731</v>
      </c>
      <c r="T111">
        <f t="shared" si="6"/>
        <v>0.53462443000000037</v>
      </c>
      <c r="U111">
        <f t="shared" si="7"/>
        <v>2.115928475492173</v>
      </c>
    </row>
    <row r="112" spans="17:21">
      <c r="Q112">
        <f>1</f>
        <v>1</v>
      </c>
      <c r="R112">
        <f t="shared" si="4"/>
        <v>1.0800000000000007</v>
      </c>
      <c r="S112">
        <f t="shared" si="5"/>
        <v>0.97130102817363007</v>
      </c>
      <c r="T112">
        <f t="shared" si="6"/>
        <v>0.53962092000000039</v>
      </c>
      <c r="U112">
        <f t="shared" si="7"/>
        <v>2.1197333683501443</v>
      </c>
    </row>
    <row r="113" spans="17:21">
      <c r="Q113">
        <f>1</f>
        <v>1</v>
      </c>
      <c r="R113">
        <f t="shared" si="4"/>
        <v>1.0900000000000007</v>
      </c>
      <c r="S113">
        <f t="shared" si="5"/>
        <v>0.97303493812958242</v>
      </c>
      <c r="T113">
        <f t="shared" si="6"/>
        <v>0.54461741000000041</v>
      </c>
      <c r="U113">
        <f t="shared" si="7"/>
        <v>2.1235173927511659</v>
      </c>
    </row>
    <row r="114" spans="17:21">
      <c r="Q114">
        <f>1</f>
        <v>1</v>
      </c>
      <c r="R114">
        <f t="shared" si="4"/>
        <v>1.1000000000000008</v>
      </c>
      <c r="S114">
        <f t="shared" si="5"/>
        <v>0.97475915086759879</v>
      </c>
      <c r="T114">
        <f t="shared" si="6"/>
        <v>0.54961390000000043</v>
      </c>
      <c r="U114">
        <f t="shared" si="7"/>
        <v>2.1272802542831672</v>
      </c>
    </row>
    <row r="115" spans="17:21">
      <c r="Q115">
        <f>1</f>
        <v>1</v>
      </c>
      <c r="R115">
        <f t="shared" si="4"/>
        <v>1.1100000000000008</v>
      </c>
      <c r="S115">
        <f t="shared" si="5"/>
        <v>0.97647352979826696</v>
      </c>
      <c r="T115">
        <f t="shared" si="6"/>
        <v>0.55461039000000034</v>
      </c>
      <c r="U115">
        <f t="shared" si="7"/>
        <v>2.1310216548581948</v>
      </c>
    </row>
    <row r="116" spans="17:21">
      <c r="Q116">
        <f>1</f>
        <v>1</v>
      </c>
      <c r="R116">
        <f t="shared" si="4"/>
        <v>1.1200000000000008</v>
      </c>
      <c r="S116">
        <f t="shared" si="5"/>
        <v>0.97817793662722941</v>
      </c>
      <c r="T116">
        <f t="shared" si="6"/>
        <v>0.55960688000000036</v>
      </c>
      <c r="U116">
        <f t="shared" si="7"/>
        <v>2.1347412926674836</v>
      </c>
    </row>
    <row r="117" spans="17:21">
      <c r="Q117">
        <f>1</f>
        <v>1</v>
      </c>
      <c r="R117">
        <f t="shared" si="4"/>
        <v>1.1300000000000008</v>
      </c>
      <c r="S117">
        <f t="shared" si="5"/>
        <v>0.97987223133439794</v>
      </c>
      <c r="T117">
        <f t="shared" si="6"/>
        <v>0.56460337000000038</v>
      </c>
      <c r="U117">
        <f t="shared" si="7"/>
        <v>2.138438862136093</v>
      </c>
    </row>
    <row r="118" spans="17:21">
      <c r="Q118">
        <f>1</f>
        <v>1</v>
      </c>
      <c r="R118">
        <f t="shared" si="4"/>
        <v>1.1400000000000008</v>
      </c>
      <c r="S118">
        <f t="shared" si="5"/>
        <v>0.98155627215296848</v>
      </c>
      <c r="T118">
        <f t="shared" si="6"/>
        <v>0.5695998600000004</v>
      </c>
      <c r="U118">
        <f t="shared" si="7"/>
        <v>2.1421140538771128</v>
      </c>
    </row>
    <row r="119" spans="17:21">
      <c r="Q119">
        <f>1</f>
        <v>1</v>
      </c>
      <c r="R119">
        <f t="shared" si="4"/>
        <v>1.1500000000000008</v>
      </c>
      <c r="S119">
        <f t="shared" si="5"/>
        <v>0.98322991554823558</v>
      </c>
      <c r="T119">
        <f t="shared" si="6"/>
        <v>0.57459635000000042</v>
      </c>
      <c r="U119">
        <f t="shared" si="7"/>
        <v>2.1457665546454252</v>
      </c>
    </row>
    <row r="120" spans="17:21">
      <c r="Q120">
        <f>1</f>
        <v>1</v>
      </c>
      <c r="R120">
        <f t="shared" si="4"/>
        <v>1.1600000000000008</v>
      </c>
      <c r="S120">
        <f t="shared" si="5"/>
        <v>0.98489301619619884</v>
      </c>
      <c r="T120">
        <f t="shared" si="6"/>
        <v>0.57959284000000044</v>
      </c>
      <c r="U120">
        <f t="shared" si="7"/>
        <v>2.1493960472910172</v>
      </c>
    </row>
    <row r="121" spans="17:21">
      <c r="Q121">
        <f>1</f>
        <v>1</v>
      </c>
      <c r="R121">
        <f t="shared" si="4"/>
        <v>1.1700000000000008</v>
      </c>
      <c r="S121">
        <f t="shared" si="5"/>
        <v>0.98654542696196601</v>
      </c>
      <c r="T121">
        <f t="shared" si="6"/>
        <v>0.58458933000000046</v>
      </c>
      <c r="U121">
        <f t="shared" si="7"/>
        <v>2.1530022107118509</v>
      </c>
    </row>
    <row r="122" spans="17:21">
      <c r="Q122">
        <f>1</f>
        <v>1</v>
      </c>
      <c r="R122">
        <f t="shared" si="4"/>
        <v>1.1800000000000008</v>
      </c>
      <c r="S122">
        <f t="shared" si="5"/>
        <v>0.9881869988779417</v>
      </c>
      <c r="T122">
        <f t="shared" si="6"/>
        <v>0.58958582000000037</v>
      </c>
      <c r="U122">
        <f t="shared" si="7"/>
        <v>2.1565847198062591</v>
      </c>
    </row>
    <row r="123" spans="17:21">
      <c r="Q123">
        <f>1</f>
        <v>1</v>
      </c>
      <c r="R123">
        <f t="shared" si="4"/>
        <v>1.1900000000000008</v>
      </c>
      <c r="S123">
        <f t="shared" si="5"/>
        <v>0.98981758112180573</v>
      </c>
      <c r="T123">
        <f t="shared" si="6"/>
        <v>0.59458231000000039</v>
      </c>
      <c r="U123">
        <f t="shared" si="7"/>
        <v>2.1601432454248894</v>
      </c>
    </row>
    <row r="124" spans="17:21">
      <c r="Q124">
        <f>1</f>
        <v>1</v>
      </c>
      <c r="R124">
        <f t="shared" si="4"/>
        <v>1.2000000000000008</v>
      </c>
      <c r="S124">
        <f t="shared" si="5"/>
        <v>0.99143702099427466</v>
      </c>
      <c r="T124">
        <f t="shared" si="6"/>
        <v>0.59957880000000041</v>
      </c>
      <c r="U124">
        <f t="shared" si="7"/>
        <v>2.16367745432217</v>
      </c>
    </row>
    <row r="125" spans="17:21">
      <c r="Q125">
        <f>1</f>
        <v>1</v>
      </c>
      <c r="R125">
        <f t="shared" si="4"/>
        <v>1.2100000000000009</v>
      </c>
      <c r="S125">
        <f t="shared" si="5"/>
        <v>0.99304516389664688</v>
      </c>
      <c r="T125">
        <f t="shared" si="6"/>
        <v>0.60457529000000043</v>
      </c>
      <c r="U125">
        <f t="shared" si="7"/>
        <v>2.1671870091073058</v>
      </c>
    </row>
    <row r="126" spans="17:21">
      <c r="Q126">
        <f>1</f>
        <v>1</v>
      </c>
      <c r="R126">
        <f t="shared" si="4"/>
        <v>1.2200000000000009</v>
      </c>
      <c r="S126">
        <f t="shared" si="5"/>
        <v>0.9946418533081236</v>
      </c>
      <c r="T126">
        <f t="shared" si="6"/>
        <v>0.60957178000000045</v>
      </c>
      <c r="U126">
        <f t="shared" si="7"/>
        <v>2.1706715681947832</v>
      </c>
    </row>
    <row r="127" spans="17:21">
      <c r="Q127">
        <f>1</f>
        <v>1</v>
      </c>
      <c r="R127">
        <f t="shared" si="4"/>
        <v>1.2300000000000009</v>
      </c>
      <c r="S127">
        <f t="shared" si="5"/>
        <v>0.9962269307629068</v>
      </c>
      <c r="T127">
        <f t="shared" si="6"/>
        <v>0.61456827000000047</v>
      </c>
      <c r="U127">
        <f t="shared" si="7"/>
        <v>2.1741307857543908</v>
      </c>
    </row>
    <row r="128" spans="17:21">
      <c r="Q128">
        <f>1</f>
        <v>1</v>
      </c>
      <c r="R128">
        <f t="shared" si="4"/>
        <v>1.2400000000000009</v>
      </c>
      <c r="S128">
        <f t="shared" si="5"/>
        <v>0.99780023582707433</v>
      </c>
      <c r="T128">
        <f t="shared" si="6"/>
        <v>0.61956476000000049</v>
      </c>
      <c r="U128">
        <f t="shared" si="7"/>
        <v>2.177564311660753</v>
      </c>
    </row>
    <row r="129" spans="17:21">
      <c r="Q129">
        <f>1</f>
        <v>1</v>
      </c>
      <c r="R129">
        <f t="shared" si="4"/>
        <v>1.2500000000000009</v>
      </c>
      <c r="S129">
        <f t="shared" si="5"/>
        <v>0.99936160607521973</v>
      </c>
      <c r="T129">
        <f t="shared" si="6"/>
        <v>0.6245612500000004</v>
      </c>
      <c r="U129">
        <f t="shared" si="7"/>
        <v>2.1809717914423468</v>
      </c>
    </row>
    <row r="130" spans="17:21">
      <c r="Q130">
        <f>1</f>
        <v>1</v>
      </c>
      <c r="R130">
        <f t="shared" si="4"/>
        <v>1.2600000000000009</v>
      </c>
      <c r="S130">
        <f t="shared" si="5"/>
        <v>1.0009108770668635</v>
      </c>
      <c r="T130">
        <f t="shared" si="6"/>
        <v>0.62955774000000042</v>
      </c>
      <c r="U130">
        <f t="shared" si="7"/>
        <v>2.1843528662300256</v>
      </c>
    </row>
    <row r="131" spans="17:21">
      <c r="Q131">
        <f>1</f>
        <v>1</v>
      </c>
      <c r="R131">
        <f t="shared" si="4"/>
        <v>1.2700000000000009</v>
      </c>
      <c r="S131">
        <f t="shared" si="5"/>
        <v>1.002447882322629</v>
      </c>
      <c r="T131">
        <f t="shared" si="6"/>
        <v>0.63455423000000044</v>
      </c>
      <c r="U131">
        <f t="shared" si="7"/>
        <v>2.1877071727050241</v>
      </c>
    </row>
    <row r="132" spans="17:21">
      <c r="Q132">
        <f>1</f>
        <v>1</v>
      </c>
      <c r="R132">
        <f t="shared" si="4"/>
        <v>1.2800000000000009</v>
      </c>
      <c r="S132">
        <f t="shared" si="5"/>
        <v>1.0039724533001804</v>
      </c>
      <c r="T132">
        <f t="shared" si="6"/>
        <v>0.63955072000000046</v>
      </c>
      <c r="U132">
        <f t="shared" si="7"/>
        <v>2.1910343430464478</v>
      </c>
    </row>
    <row r="133" spans="17:21">
      <c r="Q133">
        <f>1</f>
        <v>1</v>
      </c>
      <c r="R133">
        <f t="shared" si="4"/>
        <v>1.2900000000000009</v>
      </c>
      <c r="S133">
        <f t="shared" si="5"/>
        <v>1.0054844193699193</v>
      </c>
      <c r="T133">
        <f t="shared" si="6"/>
        <v>0.64454721000000048</v>
      </c>
      <c r="U133">
        <f t="shared" si="7"/>
        <v>2.1943340048782338</v>
      </c>
    </row>
    <row r="134" spans="17:21">
      <c r="Q134">
        <f>1</f>
        <v>1</v>
      </c>
      <c r="R134">
        <f t="shared" ref="R134:R197" si="8">R133+0.01</f>
        <v>1.3000000000000009</v>
      </c>
      <c r="S134">
        <f t="shared" ref="S134:S197" si="9">0.0275*(R134-EXP(Q134+R134))+0.453*EXP(R134)^0.5-0.00616*R134^2*(Q134*(Q134+2.72)+R134^0.5)-0.0446*(Q134-R134)+0.415</f>
        <v>1.0069836077904382</v>
      </c>
      <c r="T134">
        <f t="shared" ref="T134:T197" si="10">R134*0.499649</f>
        <v>0.6495437000000005</v>
      </c>
      <c r="U134">
        <f t="shared" ref="U134:U197" si="11">S134*2.182365</f>
        <v>2.1976057812155796</v>
      </c>
    </row>
    <row r="135" spans="17:21">
      <c r="Q135">
        <f>1</f>
        <v>1</v>
      </c>
      <c r="R135">
        <f t="shared" si="8"/>
        <v>1.3100000000000009</v>
      </c>
      <c r="S135">
        <f t="shared" si="9"/>
        <v>1.0084698436837287</v>
      </c>
      <c r="T135">
        <f t="shared" si="10"/>
        <v>0.65454019000000052</v>
      </c>
      <c r="U135">
        <f t="shared" si="11"/>
        <v>2.2008492904108405</v>
      </c>
    </row>
    <row r="136" spans="17:21">
      <c r="Q136">
        <f>1</f>
        <v>1</v>
      </c>
      <c r="R136">
        <f t="shared" si="8"/>
        <v>1.320000000000001</v>
      </c>
      <c r="S136">
        <f t="shared" si="9"/>
        <v>1.0099429500101396</v>
      </c>
      <c r="T136">
        <f t="shared" si="10"/>
        <v>0.65953668000000054</v>
      </c>
      <c r="U136">
        <f t="shared" si="11"/>
        <v>2.2040641460988781</v>
      </c>
    </row>
    <row r="137" spans="17:21">
      <c r="Q137">
        <f>1</f>
        <v>1</v>
      </c>
      <c r="R137">
        <f t="shared" si="8"/>
        <v>1.330000000000001</v>
      </c>
      <c r="S137">
        <f t="shared" si="9"/>
        <v>1.0114027475430825</v>
      </c>
      <c r="T137">
        <f t="shared" si="10"/>
        <v>0.66453317000000045</v>
      </c>
      <c r="U137">
        <f t="shared" si="11"/>
        <v>2.2072499571418591</v>
      </c>
    </row>
    <row r="138" spans="17:21">
      <c r="Q138">
        <f>1</f>
        <v>1</v>
      </c>
      <c r="R138">
        <f t="shared" si="8"/>
        <v>1.340000000000001</v>
      </c>
      <c r="S138">
        <f t="shared" si="9"/>
        <v>1.0128490548434828</v>
      </c>
      <c r="T138">
        <f t="shared" si="10"/>
        <v>0.66952966000000047</v>
      </c>
      <c r="U138">
        <f t="shared" si="11"/>
        <v>2.2104063275734971</v>
      </c>
    </row>
    <row r="139" spans="17:21">
      <c r="Q139">
        <f>1</f>
        <v>1</v>
      </c>
      <c r="R139">
        <f t="shared" si="8"/>
        <v>1.350000000000001</v>
      </c>
      <c r="S139">
        <f t="shared" si="9"/>
        <v>1.0142816882339729</v>
      </c>
      <c r="T139">
        <f t="shared" si="10"/>
        <v>0.67452615000000049</v>
      </c>
      <c r="U139">
        <f t="shared" si="11"/>
        <v>2.2135328565427344</v>
      </c>
    </row>
    <row r="140" spans="17:21">
      <c r="Q140">
        <f>1</f>
        <v>1</v>
      </c>
      <c r="R140">
        <f t="shared" si="8"/>
        <v>1.360000000000001</v>
      </c>
      <c r="S140">
        <f t="shared" si="9"/>
        <v>1.0157004617728262</v>
      </c>
      <c r="T140">
        <f t="shared" si="10"/>
        <v>0.67952264000000051</v>
      </c>
      <c r="U140">
        <f t="shared" si="11"/>
        <v>2.2166291382568537</v>
      </c>
    </row>
    <row r="141" spans="17:21">
      <c r="Q141">
        <f>1</f>
        <v>1</v>
      </c>
      <c r="R141">
        <f t="shared" si="8"/>
        <v>1.370000000000001</v>
      </c>
      <c r="S141">
        <f t="shared" si="9"/>
        <v>1.0171051872276229</v>
      </c>
      <c r="T141">
        <f t="shared" si="10"/>
        <v>0.68451913000000053</v>
      </c>
      <c r="U141">
        <f t="shared" si="11"/>
        <v>2.2196947619240111</v>
      </c>
    </row>
    <row r="142" spans="17:21">
      <c r="Q142">
        <f>1</f>
        <v>1</v>
      </c>
      <c r="R142">
        <f t="shared" si="8"/>
        <v>1.380000000000001</v>
      </c>
      <c r="S142">
        <f t="shared" si="9"/>
        <v>1.018495674048653</v>
      </c>
      <c r="T142">
        <f t="shared" si="10"/>
        <v>0.68951562000000055</v>
      </c>
      <c r="U142">
        <f t="shared" si="11"/>
        <v>2.2227293116951885</v>
      </c>
    </row>
    <row r="143" spans="17:21">
      <c r="Q143">
        <f>1</f>
        <v>1</v>
      </c>
      <c r="R143">
        <f t="shared" si="8"/>
        <v>1.390000000000001</v>
      </c>
      <c r="S143">
        <f t="shared" si="9"/>
        <v>1.019871729342047</v>
      </c>
      <c r="T143">
        <f t="shared" si="10"/>
        <v>0.69451211000000057</v>
      </c>
      <c r="U143">
        <f t="shared" si="11"/>
        <v>2.2257323666055564</v>
      </c>
    </row>
    <row r="144" spans="17:21">
      <c r="Q144">
        <f>1</f>
        <v>1</v>
      </c>
      <c r="R144">
        <f t="shared" si="8"/>
        <v>1.400000000000001</v>
      </c>
      <c r="S144">
        <f t="shared" si="9"/>
        <v>1.0212331578426357</v>
      </c>
      <c r="T144">
        <f t="shared" si="10"/>
        <v>0.69950860000000048</v>
      </c>
      <c r="U144">
        <f t="shared" si="11"/>
        <v>2.2287035005152434</v>
      </c>
    </row>
    <row r="145" spans="17:21">
      <c r="Q145">
        <f>1</f>
        <v>1</v>
      </c>
      <c r="R145">
        <f t="shared" si="8"/>
        <v>1.410000000000001</v>
      </c>
      <c r="S145">
        <f t="shared" si="9"/>
        <v>1.022579761886532</v>
      </c>
      <c r="T145">
        <f t="shared" si="10"/>
        <v>0.7045050900000005</v>
      </c>
      <c r="U145">
        <f t="shared" si="11"/>
        <v>2.2316422820495014</v>
      </c>
    </row>
    <row r="146" spans="17:21">
      <c r="Q146">
        <f>1</f>
        <v>1</v>
      </c>
      <c r="R146">
        <f t="shared" si="8"/>
        <v>1.420000000000001</v>
      </c>
      <c r="S146">
        <f t="shared" si="9"/>
        <v>1.0239113413834344</v>
      </c>
      <c r="T146">
        <f t="shared" si="10"/>
        <v>0.70950158000000052</v>
      </c>
      <c r="U146">
        <f t="shared" si="11"/>
        <v>2.2345482745382585</v>
      </c>
    </row>
    <row r="147" spans="17:21">
      <c r="Q147">
        <f>1</f>
        <v>1</v>
      </c>
      <c r="R147">
        <f t="shared" si="8"/>
        <v>1.430000000000001</v>
      </c>
      <c r="S147">
        <f t="shared" si="9"/>
        <v>1.0252276937886484</v>
      </c>
      <c r="T147">
        <f t="shared" si="10"/>
        <v>0.71449807000000054</v>
      </c>
      <c r="U147">
        <f t="shared" si="11"/>
        <v>2.2374210359550637</v>
      </c>
    </row>
    <row r="148" spans="17:21">
      <c r="Q148">
        <f>1</f>
        <v>1</v>
      </c>
      <c r="R148">
        <f t="shared" si="8"/>
        <v>1.4400000000000011</v>
      </c>
      <c r="S148">
        <f t="shared" si="9"/>
        <v>1.0265286140748233</v>
      </c>
      <c r="T148">
        <f t="shared" si="10"/>
        <v>0.71949456000000056</v>
      </c>
      <c r="U148">
        <f t="shared" si="11"/>
        <v>2.2402601188554017</v>
      </c>
    </row>
    <row r="149" spans="17:21">
      <c r="Q149">
        <f>1</f>
        <v>1</v>
      </c>
      <c r="R149">
        <f t="shared" si="8"/>
        <v>1.4500000000000011</v>
      </c>
      <c r="S149">
        <f t="shared" si="9"/>
        <v>1.0278138947033983</v>
      </c>
      <c r="T149">
        <f t="shared" si="10"/>
        <v>0.72449105000000058</v>
      </c>
      <c r="U149">
        <f t="shared" si="11"/>
        <v>2.243065070314382</v>
      </c>
    </row>
    <row r="150" spans="17:21">
      <c r="Q150">
        <f>1</f>
        <v>1</v>
      </c>
      <c r="R150">
        <f t="shared" si="8"/>
        <v>1.4600000000000011</v>
      </c>
      <c r="S150">
        <f t="shared" si="9"/>
        <v>1.0290833255957588</v>
      </c>
      <c r="T150">
        <f t="shared" si="10"/>
        <v>0.7294875400000006</v>
      </c>
      <c r="U150">
        <f t="shared" si="11"/>
        <v>2.2458354318637879</v>
      </c>
    </row>
    <row r="151" spans="17:21">
      <c r="Q151">
        <f>1</f>
        <v>1</v>
      </c>
      <c r="R151">
        <f t="shared" si="8"/>
        <v>1.4700000000000011</v>
      </c>
      <c r="S151">
        <f t="shared" si="9"/>
        <v>1.0303366941040968</v>
      </c>
      <c r="T151">
        <f t="shared" si="10"/>
        <v>0.73448403000000051</v>
      </c>
      <c r="U151">
        <f t="shared" si="11"/>
        <v>2.2485707394284868</v>
      </c>
    </row>
    <row r="152" spans="17:21">
      <c r="Q152">
        <f>1</f>
        <v>1</v>
      </c>
      <c r="R152">
        <f t="shared" si="8"/>
        <v>1.4800000000000011</v>
      </c>
      <c r="S152">
        <f t="shared" si="9"/>
        <v>1.0315737849819751</v>
      </c>
      <c r="T152">
        <f t="shared" si="10"/>
        <v>0.73948052000000053</v>
      </c>
      <c r="U152">
        <f t="shared" si="11"/>
        <v>2.2512705232621877</v>
      </c>
    </row>
    <row r="153" spans="17:21">
      <c r="Q153">
        <f>1</f>
        <v>1</v>
      </c>
      <c r="R153">
        <f t="shared" si="8"/>
        <v>1.4900000000000011</v>
      </c>
      <c r="S153">
        <f t="shared" si="9"/>
        <v>1.0327943803545858</v>
      </c>
      <c r="T153">
        <f t="shared" si="10"/>
        <v>0.74447701000000055</v>
      </c>
      <c r="U153">
        <f t="shared" si="11"/>
        <v>2.2539343078825356</v>
      </c>
    </row>
    <row r="154" spans="17:21">
      <c r="Q154">
        <f>1</f>
        <v>1</v>
      </c>
      <c r="R154">
        <f t="shared" si="8"/>
        <v>1.5000000000000011</v>
      </c>
      <c r="S154">
        <f t="shared" si="9"/>
        <v>1.033998259688709</v>
      </c>
      <c r="T154">
        <f t="shared" si="10"/>
        <v>0.74947350000000057</v>
      </c>
      <c r="U154">
        <f t="shared" si="11"/>
        <v>2.2565616120055494</v>
      </c>
    </row>
    <row r="155" spans="17:21">
      <c r="Q155">
        <f>1</f>
        <v>1</v>
      </c>
      <c r="R155">
        <f t="shared" si="8"/>
        <v>1.5100000000000011</v>
      </c>
      <c r="S155">
        <f t="shared" si="9"/>
        <v>1.0351851997623598</v>
      </c>
      <c r="T155">
        <f t="shared" si="10"/>
        <v>0.75446999000000059</v>
      </c>
      <c r="U155">
        <f t="shared" si="11"/>
        <v>2.2591519484793823</v>
      </c>
    </row>
    <row r="156" spans="17:21">
      <c r="Q156">
        <f>1</f>
        <v>1</v>
      </c>
      <c r="R156">
        <f t="shared" si="8"/>
        <v>1.5200000000000011</v>
      </c>
      <c r="S156">
        <f t="shared" si="9"/>
        <v>1.0363549746341263</v>
      </c>
      <c r="T156">
        <f t="shared" si="10"/>
        <v>0.75946648000000061</v>
      </c>
      <c r="U156">
        <f t="shared" si="11"/>
        <v>2.2617048242174049</v>
      </c>
    </row>
    <row r="157" spans="17:21">
      <c r="Q157">
        <f>1</f>
        <v>1</v>
      </c>
      <c r="R157">
        <f t="shared" si="8"/>
        <v>1.5300000000000011</v>
      </c>
      <c r="S157">
        <f t="shared" si="9"/>
        <v>1.037507355612191</v>
      </c>
      <c r="T157">
        <f t="shared" si="10"/>
        <v>0.76446297000000063</v>
      </c>
      <c r="U157">
        <f t="shared" si="11"/>
        <v>2.2642197401305992</v>
      </c>
    </row>
    <row r="158" spans="17:21">
      <c r="Q158">
        <f>1</f>
        <v>1</v>
      </c>
      <c r="R158">
        <f t="shared" si="8"/>
        <v>1.5400000000000011</v>
      </c>
      <c r="S158">
        <f t="shared" si="9"/>
        <v>1.0386421112230346</v>
      </c>
      <c r="T158">
        <f t="shared" si="10"/>
        <v>0.76945946000000054</v>
      </c>
      <c r="U158">
        <f t="shared" si="11"/>
        <v>2.2666961910592578</v>
      </c>
    </row>
    <row r="159" spans="17:21">
      <c r="Q159">
        <f>1</f>
        <v>1</v>
      </c>
      <c r="R159">
        <f t="shared" si="8"/>
        <v>1.5500000000000012</v>
      </c>
      <c r="S159">
        <f t="shared" si="9"/>
        <v>1.0397590071798186</v>
      </c>
      <c r="T159">
        <f t="shared" si="10"/>
        <v>0.77445595000000056</v>
      </c>
      <c r="U159">
        <f t="shared" si="11"/>
        <v>2.2691336657039849</v>
      </c>
    </row>
    <row r="160" spans="17:21">
      <c r="Q160">
        <f>1</f>
        <v>1</v>
      </c>
      <c r="R160">
        <f t="shared" si="8"/>
        <v>1.5600000000000012</v>
      </c>
      <c r="S160">
        <f t="shared" si="9"/>
        <v>1.040857806350443</v>
      </c>
      <c r="T160">
        <f t="shared" si="10"/>
        <v>0.77945244000000058</v>
      </c>
      <c r="U160">
        <f t="shared" si="11"/>
        <v>2.2715316465559843</v>
      </c>
    </row>
    <row r="161" spans="17:21">
      <c r="Q161">
        <f>1</f>
        <v>1</v>
      </c>
      <c r="R161">
        <f t="shared" si="8"/>
        <v>1.5700000000000012</v>
      </c>
      <c r="S161">
        <f t="shared" si="9"/>
        <v>1.0419382687252732</v>
      </c>
      <c r="T161">
        <f t="shared" si="10"/>
        <v>0.7844489300000006</v>
      </c>
      <c r="U161">
        <f t="shared" si="11"/>
        <v>2.2738896098266306</v>
      </c>
    </row>
    <row r="162" spans="17:21">
      <c r="Q162">
        <f>1</f>
        <v>1</v>
      </c>
      <c r="R162">
        <f t="shared" si="8"/>
        <v>1.5800000000000012</v>
      </c>
      <c r="S162">
        <f t="shared" si="9"/>
        <v>1.0430001513845384</v>
      </c>
      <c r="T162">
        <f t="shared" si="10"/>
        <v>0.78944542000000062</v>
      </c>
      <c r="U162">
        <f t="shared" si="11"/>
        <v>2.2762070253763178</v>
      </c>
    </row>
    <row r="163" spans="17:21">
      <c r="Q163">
        <f>1</f>
        <v>1</v>
      </c>
      <c r="R163">
        <f t="shared" si="8"/>
        <v>1.5900000000000012</v>
      </c>
      <c r="S163">
        <f t="shared" si="9"/>
        <v>1.0440432084653899</v>
      </c>
      <c r="T163">
        <f t="shared" si="10"/>
        <v>0.79444191000000064</v>
      </c>
      <c r="U163">
        <f t="shared" si="11"/>
        <v>2.2784833566425706</v>
      </c>
    </row>
    <row r="164" spans="17:21">
      <c r="Q164">
        <f>1</f>
        <v>1</v>
      </c>
      <c r="R164">
        <f t="shared" si="8"/>
        <v>1.6000000000000012</v>
      </c>
      <c r="S164">
        <f t="shared" si="9"/>
        <v>1.0450671911286249</v>
      </c>
      <c r="T164">
        <f t="shared" si="10"/>
        <v>0.79943840000000066</v>
      </c>
      <c r="U164">
        <f t="shared" si="11"/>
        <v>2.2807180605674215</v>
      </c>
    </row>
    <row r="165" spans="17:21">
      <c r="Q165">
        <f>1</f>
        <v>1</v>
      </c>
      <c r="R165">
        <f t="shared" si="8"/>
        <v>1.6100000000000012</v>
      </c>
      <c r="S165">
        <f t="shared" si="9"/>
        <v>1.0460718475250625</v>
      </c>
      <c r="T165">
        <f t="shared" si="10"/>
        <v>0.80443489000000057</v>
      </c>
      <c r="U165">
        <f t="shared" si="11"/>
        <v>2.2829105875240332</v>
      </c>
    </row>
    <row r="166" spans="17:21">
      <c r="Q166">
        <f>1</f>
        <v>1</v>
      </c>
      <c r="R166">
        <f t="shared" si="8"/>
        <v>1.6200000000000012</v>
      </c>
      <c r="S166">
        <f t="shared" si="9"/>
        <v>1.0470569227615769</v>
      </c>
      <c r="T166">
        <f t="shared" si="10"/>
        <v>0.80943138000000059</v>
      </c>
      <c r="U166">
        <f t="shared" si="11"/>
        <v>2.2850603812425687</v>
      </c>
    </row>
    <row r="167" spans="17:21">
      <c r="Q167">
        <f>1</f>
        <v>1</v>
      </c>
      <c r="R167">
        <f t="shared" si="8"/>
        <v>1.6300000000000012</v>
      </c>
      <c r="S167">
        <f t="shared" si="9"/>
        <v>1.048022158866778</v>
      </c>
      <c r="T167">
        <f t="shared" si="10"/>
        <v>0.81442787000000061</v>
      </c>
      <c r="U167">
        <f t="shared" si="11"/>
        <v>2.2871668787352957</v>
      </c>
    </row>
    <row r="168" spans="17:21">
      <c r="Q168">
        <f>1</f>
        <v>1</v>
      </c>
      <c r="R168">
        <f t="shared" si="8"/>
        <v>1.6400000000000012</v>
      </c>
      <c r="S168">
        <f t="shared" si="9"/>
        <v>1.048967294756338</v>
      </c>
      <c r="T168">
        <f t="shared" si="10"/>
        <v>0.81942436000000063</v>
      </c>
      <c r="U168">
        <f t="shared" si="11"/>
        <v>2.2892295102209155</v>
      </c>
    </row>
    <row r="169" spans="17:21">
      <c r="Q169">
        <f>1</f>
        <v>1</v>
      </c>
      <c r="R169">
        <f t="shared" si="8"/>
        <v>1.6500000000000012</v>
      </c>
      <c r="S169">
        <f t="shared" si="9"/>
        <v>1.049892066197964</v>
      </c>
      <c r="T169">
        <f t="shared" si="10"/>
        <v>0.82442085000000065</v>
      </c>
      <c r="U169">
        <f t="shared" si="11"/>
        <v>2.2912476990481196</v>
      </c>
    </row>
    <row r="170" spans="17:21">
      <c r="Q170">
        <f>1</f>
        <v>1</v>
      </c>
      <c r="R170">
        <f t="shared" si="8"/>
        <v>1.6600000000000013</v>
      </c>
      <c r="S170">
        <f t="shared" si="9"/>
        <v>1.050796205776001</v>
      </c>
      <c r="T170">
        <f t="shared" si="10"/>
        <v>0.82941734000000067</v>
      </c>
      <c r="U170">
        <f t="shared" si="11"/>
        <v>2.2932208616183423</v>
      </c>
    </row>
    <row r="171" spans="17:21">
      <c r="Q171">
        <f>1</f>
        <v>1</v>
      </c>
      <c r="R171">
        <f t="shared" si="8"/>
        <v>1.6700000000000013</v>
      </c>
      <c r="S171">
        <f t="shared" si="9"/>
        <v>1.0516794428556777</v>
      </c>
      <c r="T171">
        <f t="shared" si="10"/>
        <v>0.83441383000000069</v>
      </c>
      <c r="U171">
        <f t="shared" si="11"/>
        <v>2.2951484073077308</v>
      </c>
    </row>
    <row r="172" spans="17:21">
      <c r="Q172">
        <f>1</f>
        <v>1</v>
      </c>
      <c r="R172">
        <f t="shared" si="8"/>
        <v>1.6800000000000013</v>
      </c>
      <c r="S172">
        <f t="shared" si="9"/>
        <v>1.0525415035469792</v>
      </c>
      <c r="T172">
        <f t="shared" si="10"/>
        <v>0.8394103200000006</v>
      </c>
      <c r="U172">
        <f t="shared" si="11"/>
        <v>2.2970297383883032</v>
      </c>
    </row>
    <row r="173" spans="17:21">
      <c r="Q173">
        <f>1</f>
        <v>1</v>
      </c>
      <c r="R173">
        <f t="shared" si="8"/>
        <v>1.6900000000000013</v>
      </c>
      <c r="S173">
        <f t="shared" si="9"/>
        <v>1.0533821106681458</v>
      </c>
      <c r="T173">
        <f t="shared" si="10"/>
        <v>0.84440681000000062</v>
      </c>
      <c r="U173">
        <f t="shared" si="11"/>
        <v>2.2988642499482879</v>
      </c>
    </row>
    <row r="174" spans="17:21">
      <c r="Q174">
        <f>1</f>
        <v>1</v>
      </c>
      <c r="R174">
        <f t="shared" si="8"/>
        <v>1.7000000000000013</v>
      </c>
      <c r="S174">
        <f t="shared" si="9"/>
        <v>1.0542009837087953</v>
      </c>
      <c r="T174">
        <f t="shared" si="10"/>
        <v>0.84940330000000064</v>
      </c>
      <c r="U174">
        <f t="shared" si="11"/>
        <v>2.3006513298116449</v>
      </c>
    </row>
    <row r="175" spans="17:21">
      <c r="Q175">
        <f>1</f>
        <v>1</v>
      </c>
      <c r="R175">
        <f t="shared" si="8"/>
        <v>1.7100000000000013</v>
      </c>
      <c r="S175">
        <f t="shared" si="9"/>
        <v>1.0549978387926653</v>
      </c>
      <c r="T175">
        <f t="shared" si="10"/>
        <v>0.85439979000000066</v>
      </c>
      <c r="U175">
        <f t="shared" si="11"/>
        <v>2.3023903584567549</v>
      </c>
    </row>
    <row r="176" spans="17:21">
      <c r="Q176">
        <f>1</f>
        <v>1</v>
      </c>
      <c r="R176">
        <f t="shared" si="8"/>
        <v>1.7200000000000013</v>
      </c>
      <c r="S176">
        <f t="shared" si="9"/>
        <v>1.0557723886399695</v>
      </c>
      <c r="T176">
        <f t="shared" si="10"/>
        <v>0.85939628000000068</v>
      </c>
      <c r="U176">
        <f t="shared" si="11"/>
        <v>2.3040807089342668</v>
      </c>
    </row>
    <row r="177" spans="17:21">
      <c r="Q177">
        <f>1</f>
        <v>1</v>
      </c>
      <c r="R177">
        <f t="shared" si="8"/>
        <v>1.7300000000000013</v>
      </c>
      <c r="S177">
        <f t="shared" si="9"/>
        <v>1.056524342529364</v>
      </c>
      <c r="T177">
        <f t="shared" si="10"/>
        <v>0.8643927700000007</v>
      </c>
      <c r="U177">
        <f t="shared" si="11"/>
        <v>2.3057217467840951</v>
      </c>
    </row>
    <row r="178" spans="17:21">
      <c r="Q178">
        <f>1</f>
        <v>1</v>
      </c>
      <c r="R178">
        <f t="shared" si="8"/>
        <v>1.7400000000000013</v>
      </c>
      <c r="S178">
        <f t="shared" si="9"/>
        <v>1.0572534062595207</v>
      </c>
      <c r="T178">
        <f t="shared" si="10"/>
        <v>0.86938926000000072</v>
      </c>
      <c r="U178">
        <f t="shared" si="11"/>
        <v>2.3073128299515586</v>
      </c>
    </row>
    <row r="179" spans="17:21">
      <c r="Q179">
        <f>1</f>
        <v>1</v>
      </c>
      <c r="R179">
        <f t="shared" si="8"/>
        <v>1.7500000000000013</v>
      </c>
      <c r="S179">
        <f t="shared" si="9"/>
        <v>1.0579592821103039</v>
      </c>
      <c r="T179">
        <f t="shared" si="10"/>
        <v>0.87438575000000063</v>
      </c>
      <c r="U179">
        <f t="shared" si="11"/>
        <v>2.3088533087026533</v>
      </c>
    </row>
    <row r="180" spans="17:21">
      <c r="Q180">
        <f>1</f>
        <v>1</v>
      </c>
      <c r="R180">
        <f t="shared" si="8"/>
        <v>1.7600000000000013</v>
      </c>
      <c r="S180">
        <f t="shared" si="9"/>
        <v>1.0586416688035447</v>
      </c>
      <c r="T180">
        <f t="shared" si="10"/>
        <v>0.87938224000000065</v>
      </c>
      <c r="U180">
        <f t="shared" si="11"/>
        <v>2.3103425255384478</v>
      </c>
    </row>
    <row r="181" spans="17:21">
      <c r="Q181">
        <f>1</f>
        <v>1</v>
      </c>
      <c r="R181">
        <f t="shared" si="8"/>
        <v>1.7700000000000014</v>
      </c>
      <c r="S181">
        <f t="shared" si="9"/>
        <v>1.0593002614634091</v>
      </c>
      <c r="T181">
        <f t="shared" si="10"/>
        <v>0.88437873000000067</v>
      </c>
      <c r="U181">
        <f t="shared" si="11"/>
        <v>2.3117798151085927</v>
      </c>
    </row>
    <row r="182" spans="17:21">
      <c r="Q182">
        <f>1</f>
        <v>1</v>
      </c>
      <c r="R182">
        <f t="shared" si="8"/>
        <v>1.7800000000000014</v>
      </c>
      <c r="S182">
        <f t="shared" si="9"/>
        <v>1.0599347515763566</v>
      </c>
      <c r="T182">
        <f t="shared" si="10"/>
        <v>0.88937522000000069</v>
      </c>
      <c r="U182">
        <f t="shared" si="11"/>
        <v>2.3131645041239355</v>
      </c>
    </row>
    <row r="183" spans="17:21">
      <c r="Q183">
        <f>1</f>
        <v>1</v>
      </c>
      <c r="R183">
        <f t="shared" si="8"/>
        <v>1.7900000000000014</v>
      </c>
      <c r="S183">
        <f t="shared" si="9"/>
        <v>1.0605448269506839</v>
      </c>
      <c r="T183">
        <f t="shared" si="10"/>
        <v>0.89437171000000071</v>
      </c>
      <c r="U183">
        <f t="shared" si="11"/>
        <v>2.3144959112682288</v>
      </c>
    </row>
    <row r="184" spans="17:21">
      <c r="Q184">
        <f>1</f>
        <v>1</v>
      </c>
      <c r="R184">
        <f t="shared" si="8"/>
        <v>1.8000000000000014</v>
      </c>
      <c r="S184">
        <f t="shared" si="9"/>
        <v>1.0611301716756503</v>
      </c>
      <c r="T184">
        <f t="shared" si="10"/>
        <v>0.89936820000000073</v>
      </c>
      <c r="U184">
        <f t="shared" si="11"/>
        <v>2.3157733471089306</v>
      </c>
    </row>
    <row r="185" spans="17:21">
      <c r="Q185">
        <f>1</f>
        <v>1</v>
      </c>
      <c r="R185">
        <f t="shared" si="8"/>
        <v>1.8100000000000014</v>
      </c>
      <c r="S185">
        <f t="shared" si="9"/>
        <v>1.0616904660801796</v>
      </c>
      <c r="T185">
        <f t="shared" si="10"/>
        <v>0.90436469000000075</v>
      </c>
      <c r="U185">
        <f t="shared" si="11"/>
        <v>2.316996114007071</v>
      </c>
    </row>
    <row r="186" spans="17:21">
      <c r="Q186">
        <f>1</f>
        <v>1</v>
      </c>
      <c r="R186">
        <f t="shared" si="8"/>
        <v>1.8200000000000014</v>
      </c>
      <c r="S186">
        <f t="shared" si="9"/>
        <v>1.0622253866911342</v>
      </c>
      <c r="T186">
        <f t="shared" si="10"/>
        <v>0.90936118000000077</v>
      </c>
      <c r="U186">
        <f t="shared" si="11"/>
        <v>2.3181635060261971</v>
      </c>
    </row>
    <row r="187" spans="17:21">
      <c r="Q187">
        <f>1</f>
        <v>1</v>
      </c>
      <c r="R187">
        <f t="shared" si="8"/>
        <v>1.8300000000000014</v>
      </c>
      <c r="S187">
        <f t="shared" si="9"/>
        <v>1.0627346061911578</v>
      </c>
      <c r="T187">
        <f t="shared" si="10"/>
        <v>0.91435767000000068</v>
      </c>
      <c r="U187">
        <f t="shared" si="11"/>
        <v>2.3192748088403659</v>
      </c>
    </row>
    <row r="188" spans="17:21">
      <c r="Q188">
        <f>1</f>
        <v>1</v>
      </c>
      <c r="R188">
        <f t="shared" si="8"/>
        <v>1.8400000000000014</v>
      </c>
      <c r="S188">
        <f t="shared" si="9"/>
        <v>1.0632177933760809</v>
      </c>
      <c r="T188">
        <f t="shared" si="10"/>
        <v>0.9193541600000007</v>
      </c>
      <c r="U188">
        <f t="shared" si="11"/>
        <v>2.3203292996411906</v>
      </c>
    </row>
    <row r="189" spans="17:21">
      <c r="Q189">
        <f>1</f>
        <v>1</v>
      </c>
      <c r="R189">
        <f t="shared" si="8"/>
        <v>1.8500000000000014</v>
      </c>
      <c r="S189">
        <f t="shared" si="9"/>
        <v>1.0636746131118844</v>
      </c>
      <c r="T189">
        <f t="shared" si="10"/>
        <v>0.92435065000000072</v>
      </c>
      <c r="U189">
        <f t="shared" si="11"/>
        <v>2.3213262470439173</v>
      </c>
    </row>
    <row r="190" spans="17:21">
      <c r="Q190">
        <f>1</f>
        <v>1</v>
      </c>
      <c r="R190">
        <f t="shared" si="8"/>
        <v>1.8600000000000014</v>
      </c>
      <c r="S190">
        <f t="shared" si="9"/>
        <v>1.0641047262912211</v>
      </c>
      <c r="T190">
        <f t="shared" si="10"/>
        <v>0.92934714000000074</v>
      </c>
      <c r="U190">
        <f t="shared" si="11"/>
        <v>2.3222649109925406</v>
      </c>
    </row>
    <row r="191" spans="17:21">
      <c r="Q191">
        <f>1</f>
        <v>1</v>
      </c>
      <c r="R191">
        <f t="shared" si="8"/>
        <v>1.8700000000000014</v>
      </c>
      <c r="S191">
        <f t="shared" si="9"/>
        <v>1.0645077897894806</v>
      </c>
      <c r="T191">
        <f t="shared" si="10"/>
        <v>0.93434363000000076</v>
      </c>
      <c r="U191">
        <f t="shared" si="11"/>
        <v>2.3231445426639197</v>
      </c>
    </row>
    <row r="192" spans="17:21">
      <c r="Q192">
        <f>1</f>
        <v>1</v>
      </c>
      <c r="R192">
        <f t="shared" si="8"/>
        <v>1.8800000000000014</v>
      </c>
      <c r="S192">
        <f t="shared" si="9"/>
        <v>1.0648834564204066</v>
      </c>
      <c r="T192">
        <f t="shared" si="10"/>
        <v>0.93934012000000078</v>
      </c>
      <c r="U192">
        <f t="shared" si="11"/>
        <v>2.3239643843709206</v>
      </c>
    </row>
    <row r="193" spans="17:21">
      <c r="Q193">
        <f>1</f>
        <v>1</v>
      </c>
      <c r="R193">
        <f t="shared" si="8"/>
        <v>1.8900000000000015</v>
      </c>
      <c r="S193">
        <f t="shared" si="9"/>
        <v>1.0652313748912476</v>
      </c>
      <c r="T193">
        <f t="shared" si="10"/>
        <v>0.9443366100000008</v>
      </c>
      <c r="U193">
        <f t="shared" si="11"/>
        <v>2.3247236694645377</v>
      </c>
    </row>
    <row r="194" spans="17:21">
      <c r="Q194">
        <f>1</f>
        <v>1</v>
      </c>
      <c r="R194">
        <f t="shared" si="8"/>
        <v>1.9000000000000015</v>
      </c>
      <c r="S194">
        <f t="shared" si="9"/>
        <v>1.0655511897574461</v>
      </c>
      <c r="T194">
        <f t="shared" si="10"/>
        <v>0.94933310000000071</v>
      </c>
      <c r="U194">
        <f t="shared" si="11"/>
        <v>2.3254216222350088</v>
      </c>
    </row>
    <row r="195" spans="17:21">
      <c r="Q195">
        <f>1</f>
        <v>1</v>
      </c>
      <c r="R195">
        <f t="shared" si="8"/>
        <v>1.9100000000000015</v>
      </c>
      <c r="S195">
        <f t="shared" si="9"/>
        <v>1.0658425413768609</v>
      </c>
      <c r="T195">
        <f t="shared" si="10"/>
        <v>0.95432959000000073</v>
      </c>
      <c r="U195">
        <f t="shared" si="11"/>
        <v>2.3260574578119129</v>
      </c>
    </row>
    <row r="196" spans="17:21">
      <c r="Q196">
        <f>1</f>
        <v>1</v>
      </c>
      <c r="R196">
        <f t="shared" si="8"/>
        <v>1.9200000000000015</v>
      </c>
      <c r="S196">
        <f t="shared" si="9"/>
        <v>1.0661050658635094</v>
      </c>
      <c r="T196">
        <f t="shared" si="10"/>
        <v>0.95932608000000075</v>
      </c>
      <c r="U196">
        <f t="shared" si="11"/>
        <v>2.3266303820632177</v>
      </c>
    </row>
    <row r="197" spans="17:21">
      <c r="Q197">
        <f>1</f>
        <v>1</v>
      </c>
      <c r="R197">
        <f t="shared" si="8"/>
        <v>1.9300000000000015</v>
      </c>
      <c r="S197">
        <f t="shared" si="9"/>
        <v>1.0663383950408358</v>
      </c>
      <c r="T197">
        <f t="shared" si="10"/>
        <v>0.96432257000000077</v>
      </c>
      <c r="U197">
        <f t="shared" si="11"/>
        <v>2.3271395914932937</v>
      </c>
    </row>
    <row r="198" spans="17:21">
      <c r="Q198">
        <f>1</f>
        <v>1</v>
      </c>
      <c r="R198">
        <f t="shared" ref="R198:R229" si="12">R197+0.01</f>
        <v>1.9400000000000015</v>
      </c>
      <c r="S198">
        <f t="shared" ref="S198:S229" si="13">0.0275*(R198-EXP(Q198+R198))+0.453*EXP(R198)^0.5-0.00616*R198^2*(Q198*(Q198+2.72)+R198^0.5)-0.0446*(Q198-R198)+0.415</f>
        <v>1.0665421563944915</v>
      </c>
      <c r="T198">
        <f t="shared" ref="T198:T229" si="14">R198*0.499649</f>
        <v>0.96931906000000079</v>
      </c>
      <c r="U198">
        <f t="shared" ref="U198:U229" si="15">S198*2.182365</f>
        <v>2.3275842731398644</v>
      </c>
    </row>
    <row r="199" spans="17:21">
      <c r="Q199">
        <f>1</f>
        <v>1</v>
      </c>
      <c r="R199">
        <f t="shared" si="12"/>
        <v>1.9500000000000015</v>
      </c>
      <c r="S199">
        <f t="shared" si="13"/>
        <v>1.0667159730246289</v>
      </c>
      <c r="T199">
        <f t="shared" si="14"/>
        <v>0.97431555000000081</v>
      </c>
      <c r="U199">
        <f t="shared" si="15"/>
        <v>2.3279636044698941</v>
      </c>
    </row>
    <row r="200" spans="17:21">
      <c r="Q200">
        <f>1</f>
        <v>1</v>
      </c>
      <c r="R200">
        <f t="shared" si="12"/>
        <v>1.9600000000000015</v>
      </c>
      <c r="S200">
        <f t="shared" si="13"/>
        <v>1.0668594635977</v>
      </c>
      <c r="T200">
        <f t="shared" si="14"/>
        <v>0.97931204000000083</v>
      </c>
      <c r="U200">
        <f t="shared" si="15"/>
        <v>2.3282767532743947</v>
      </c>
    </row>
    <row r="201" spans="17:21">
      <c r="Q201">
        <f>1</f>
        <v>1</v>
      </c>
      <c r="R201">
        <f t="shared" si="12"/>
        <v>1.9700000000000015</v>
      </c>
      <c r="S201">
        <f t="shared" si="13"/>
        <v>1.0669722422977554</v>
      </c>
      <c r="T201">
        <f t="shared" si="14"/>
        <v>0.98430853000000074</v>
      </c>
      <c r="U201">
        <f t="shared" si="15"/>
        <v>2.3285228775621412</v>
      </c>
    </row>
    <row r="202" spans="17:21">
      <c r="Q202">
        <f>1</f>
        <v>1</v>
      </c>
      <c r="R202">
        <f t="shared" si="12"/>
        <v>1.9800000000000015</v>
      </c>
      <c r="S202">
        <f t="shared" si="13"/>
        <v>1.0670539187772379</v>
      </c>
      <c r="T202">
        <f t="shared" si="14"/>
        <v>0.98930502000000076</v>
      </c>
      <c r="U202">
        <f t="shared" si="15"/>
        <v>2.3287011254522865</v>
      </c>
    </row>
    <row r="203" spans="17:21">
      <c r="Q203">
        <f>1</f>
        <v>1</v>
      </c>
      <c r="R203">
        <f t="shared" si="12"/>
        <v>1.9900000000000015</v>
      </c>
      <c r="S203">
        <f t="shared" si="13"/>
        <v>1.0671040981072677</v>
      </c>
      <c r="T203">
        <f t="shared" si="14"/>
        <v>0.99430151000000078</v>
      </c>
      <c r="U203">
        <f t="shared" si="15"/>
        <v>2.3288106350658673</v>
      </c>
    </row>
    <row r="204" spans="17:21">
      <c r="Q204">
        <f>1</f>
        <v>1</v>
      </c>
      <c r="R204">
        <f t="shared" si="12"/>
        <v>2.0000000000000013</v>
      </c>
      <c r="S204">
        <f t="shared" si="13"/>
        <v>1.0671223807274135</v>
      </c>
      <c r="T204">
        <f t="shared" si="14"/>
        <v>0.99929800000000069</v>
      </c>
      <c r="U204">
        <f t="shared" si="15"/>
        <v>2.3288505344161816</v>
      </c>
    </row>
    <row r="205" spans="17:21">
      <c r="Q205">
        <f>1</f>
        <v>1</v>
      </c>
      <c r="R205">
        <f t="shared" si="12"/>
        <v>2.0100000000000011</v>
      </c>
      <c r="S205">
        <f t="shared" si="13"/>
        <v>1.0671083623949398</v>
      </c>
      <c r="T205">
        <f t="shared" si="14"/>
        <v>1.0042944900000006</v>
      </c>
      <c r="U205">
        <f t="shared" si="15"/>
        <v>2.3288199412980326</v>
      </c>
    </row>
    <row r="206" spans="17:21">
      <c r="Q206">
        <f>1</f>
        <v>1</v>
      </c>
      <c r="R206">
        <f t="shared" si="12"/>
        <v>2.0200000000000009</v>
      </c>
      <c r="S206">
        <f t="shared" si="13"/>
        <v>1.0670616341335311</v>
      </c>
      <c r="T206">
        <f t="shared" si="14"/>
        <v>1.0092909800000005</v>
      </c>
      <c r="U206">
        <f t="shared" si="15"/>
        <v>2.3287179631758232</v>
      </c>
    </row>
    <row r="207" spans="17:21">
      <c r="Q207">
        <f>1</f>
        <v>1</v>
      </c>
      <c r="R207">
        <f t="shared" si="12"/>
        <v>2.0300000000000007</v>
      </c>
      <c r="S207">
        <f t="shared" si="13"/>
        <v>1.0669817821814842</v>
      </c>
      <c r="T207">
        <f t="shared" si="14"/>
        <v>1.0142874700000004</v>
      </c>
      <c r="U207">
        <f t="shared" si="15"/>
        <v>2.3285436970704945</v>
      </c>
    </row>
    <row r="208" spans="17:21">
      <c r="Q208">
        <f>1</f>
        <v>1</v>
      </c>
      <c r="R208">
        <f t="shared" si="12"/>
        <v>2.0400000000000005</v>
      </c>
      <c r="S208">
        <f t="shared" si="13"/>
        <v>1.0668683879393643</v>
      </c>
      <c r="T208">
        <f t="shared" si="14"/>
        <v>1.0192839600000003</v>
      </c>
      <c r="U208">
        <f t="shared" si="15"/>
        <v>2.3282962294452907</v>
      </c>
    </row>
    <row r="209" spans="17:21">
      <c r="Q209">
        <f>1</f>
        <v>1</v>
      </c>
      <c r="R209">
        <f t="shared" si="12"/>
        <v>2.0500000000000003</v>
      </c>
      <c r="S209">
        <f t="shared" si="13"/>
        <v>1.0667210279171178</v>
      </c>
      <c r="T209">
        <f t="shared" si="14"/>
        <v>1.0242804500000002</v>
      </c>
      <c r="U209">
        <f t="shared" si="15"/>
        <v>2.3279746360903406</v>
      </c>
    </row>
    <row r="210" spans="17:21">
      <c r="Q210">
        <f>1</f>
        <v>1</v>
      </c>
      <c r="R210">
        <f t="shared" si="12"/>
        <v>2.06</v>
      </c>
      <c r="S210">
        <f t="shared" si="13"/>
        <v>1.0665392736806367</v>
      </c>
      <c r="T210">
        <f t="shared" si="14"/>
        <v>1.0292769400000001</v>
      </c>
      <c r="U210">
        <f t="shared" si="15"/>
        <v>2.3275779820060425</v>
      </c>
    </row>
    <row r="211" spans="17:21">
      <c r="Q211">
        <f>1</f>
        <v>1</v>
      </c>
      <c r="R211">
        <f t="shared" si="12"/>
        <v>2.0699999999999998</v>
      </c>
      <c r="S211">
        <f t="shared" si="13"/>
        <v>1.0663226917977744</v>
      </c>
      <c r="T211">
        <f t="shared" si="14"/>
        <v>1.03427343</v>
      </c>
      <c r="U211">
        <f t="shared" si="15"/>
        <v>2.3271053212852499</v>
      </c>
    </row>
    <row r="212" spans="17:21">
      <c r="Q212">
        <f>1</f>
        <v>1</v>
      </c>
      <c r="R212">
        <f t="shared" si="12"/>
        <v>2.0799999999999996</v>
      </c>
      <c r="S212">
        <f t="shared" si="13"/>
        <v>1.0660708437837925</v>
      </c>
      <c r="T212">
        <f t="shared" si="14"/>
        <v>1.0392699199999997</v>
      </c>
      <c r="U212">
        <f t="shared" si="15"/>
        <v>2.326555696994216</v>
      </c>
    </row>
    <row r="213" spans="17:21">
      <c r="Q213">
        <f>1</f>
        <v>1</v>
      </c>
      <c r="R213">
        <f t="shared" si="12"/>
        <v>2.0899999999999994</v>
      </c>
      <c r="S213">
        <f t="shared" si="13"/>
        <v>1.0657832860462546</v>
      </c>
      <c r="T213">
        <f t="shared" si="14"/>
        <v>1.0442664099999996</v>
      </c>
      <c r="U213">
        <f t="shared" si="15"/>
        <v>2.3259281410523345</v>
      </c>
    </row>
    <row r="214" spans="17:21">
      <c r="Q214">
        <f>1</f>
        <v>1</v>
      </c>
      <c r="R214">
        <f t="shared" si="12"/>
        <v>2.0999999999999992</v>
      </c>
      <c r="S214">
        <f t="shared" si="13"/>
        <v>1.0654595698293399</v>
      </c>
      <c r="T214">
        <f t="shared" si="14"/>
        <v>1.0492628999999996</v>
      </c>
      <c r="U214">
        <f t="shared" si="15"/>
        <v>2.3252216741106073</v>
      </c>
    </row>
    <row r="215" spans="17:21">
      <c r="Q215">
        <f>1</f>
        <v>1</v>
      </c>
      <c r="R215">
        <f t="shared" si="12"/>
        <v>2.109999999999999</v>
      </c>
      <c r="S215">
        <f t="shared" si="13"/>
        <v>1.0650992411575844</v>
      </c>
      <c r="T215">
        <f t="shared" si="14"/>
        <v>1.0542593899999995</v>
      </c>
      <c r="U215">
        <f t="shared" si="15"/>
        <v>2.3244353054288713</v>
      </c>
    </row>
    <row r="216" spans="17:21">
      <c r="Q216">
        <f>1</f>
        <v>1</v>
      </c>
      <c r="R216">
        <f t="shared" si="12"/>
        <v>2.1199999999999988</v>
      </c>
      <c r="S216">
        <f t="shared" si="13"/>
        <v>1.064701840779039</v>
      </c>
      <c r="T216">
        <f t="shared" si="14"/>
        <v>1.0592558799999994</v>
      </c>
      <c r="U216">
        <f t="shared" si="15"/>
        <v>2.3235680327517474</v>
      </c>
    </row>
    <row r="217" spans="17:21">
      <c r="Q217">
        <f>1</f>
        <v>1</v>
      </c>
      <c r="R217">
        <f t="shared" si="12"/>
        <v>2.1299999999999986</v>
      </c>
      <c r="S217">
        <f t="shared" si="13"/>
        <v>1.064266904107837</v>
      </c>
      <c r="T217">
        <f t="shared" si="14"/>
        <v>1.0642523699999993</v>
      </c>
      <c r="U217">
        <f t="shared" si="15"/>
        <v>2.3226188421832994</v>
      </c>
    </row>
    <row r="218" spans="17:21">
      <c r="Q218">
        <f>1</f>
        <v>1</v>
      </c>
      <c r="R218">
        <f t="shared" si="12"/>
        <v>2.1399999999999983</v>
      </c>
      <c r="S218">
        <f t="shared" si="13"/>
        <v>1.0637939611661718</v>
      </c>
      <c r="T218">
        <f t="shared" si="14"/>
        <v>1.0692488599999992</v>
      </c>
      <c r="U218">
        <f t="shared" si="15"/>
        <v>2.3215867080604125</v>
      </c>
    </row>
    <row r="219" spans="17:21">
      <c r="Q219">
        <f>1</f>
        <v>1</v>
      </c>
      <c r="R219">
        <f t="shared" si="12"/>
        <v>2.1499999999999981</v>
      </c>
      <c r="S219">
        <f t="shared" si="13"/>
        <v>1.0632825365256677</v>
      </c>
      <c r="T219">
        <f t="shared" si="14"/>
        <v>1.0742453499999991</v>
      </c>
      <c r="U219">
        <f t="shared" si="15"/>
        <v>2.3204705928248388</v>
      </c>
    </row>
    <row r="220" spans="17:21">
      <c r="Q220">
        <f>1</f>
        <v>1</v>
      </c>
      <c r="R220">
        <f t="shared" si="12"/>
        <v>2.1599999999999979</v>
      </c>
      <c r="S220">
        <f t="shared" si="13"/>
        <v>1.0627321492481465</v>
      </c>
      <c r="T220">
        <f t="shared" si="14"/>
        <v>1.079241839999999</v>
      </c>
      <c r="U220">
        <f t="shared" si="15"/>
        <v>2.319269446893931</v>
      </c>
    </row>
    <row r="221" spans="17:21">
      <c r="Q221">
        <f>1</f>
        <v>1</v>
      </c>
      <c r="R221">
        <f t="shared" si="12"/>
        <v>2.1699999999999977</v>
      </c>
      <c r="S221">
        <f t="shared" si="13"/>
        <v>1.0621423128257841</v>
      </c>
      <c r="T221">
        <f t="shared" si="14"/>
        <v>1.0842383299999989</v>
      </c>
      <c r="U221">
        <f t="shared" si="15"/>
        <v>2.3179822085300423</v>
      </c>
    </row>
    <row r="222" spans="17:21">
      <c r="Q222">
        <f>1</f>
        <v>1</v>
      </c>
      <c r="R222">
        <f t="shared" si="12"/>
        <v>2.1799999999999975</v>
      </c>
      <c r="S222">
        <f t="shared" si="13"/>
        <v>1.06151253512064</v>
      </c>
      <c r="T222">
        <f t="shared" si="14"/>
        <v>1.0892348199999988</v>
      </c>
      <c r="U222">
        <f t="shared" si="15"/>
        <v>2.3166078037085556</v>
      </c>
    </row>
    <row r="223" spans="17:21">
      <c r="Q223">
        <f>1</f>
        <v>1</v>
      </c>
      <c r="R223">
        <f t="shared" si="12"/>
        <v>2.1899999999999973</v>
      </c>
      <c r="S223">
        <f t="shared" si="13"/>
        <v>1.0608423183035687</v>
      </c>
      <c r="T223">
        <f t="shared" si="14"/>
        <v>1.0942313099999987</v>
      </c>
      <c r="U223">
        <f t="shared" si="15"/>
        <v>2.3151451459845673</v>
      </c>
    </row>
    <row r="224" spans="17:21">
      <c r="Q224">
        <f>1</f>
        <v>1</v>
      </c>
      <c r="R224">
        <f t="shared" si="12"/>
        <v>2.1999999999999971</v>
      </c>
      <c r="S224">
        <f t="shared" si="13"/>
        <v>1.0601311587924942</v>
      </c>
      <c r="T224">
        <f t="shared" si="14"/>
        <v>1.0992277999999986</v>
      </c>
      <c r="U224">
        <f t="shared" si="15"/>
        <v>2.3135931363581816</v>
      </c>
    </row>
    <row r="225" spans="17:21">
      <c r="Q225">
        <f>1</f>
        <v>1</v>
      </c>
      <c r="R225">
        <f t="shared" si="12"/>
        <v>2.2099999999999969</v>
      </c>
      <c r="S225">
        <f t="shared" si="13"/>
        <v>1.0593785471900465</v>
      </c>
      <c r="T225">
        <f t="shared" si="14"/>
        <v>1.1042242899999986</v>
      </c>
      <c r="U225">
        <f t="shared" si="15"/>
        <v>2.3119506631384059</v>
      </c>
    </row>
    <row r="226" spans="17:21">
      <c r="Q226">
        <f>1</f>
        <v>1</v>
      </c>
      <c r="R226">
        <f t="shared" si="12"/>
        <v>2.2199999999999966</v>
      </c>
      <c r="S226">
        <f t="shared" si="13"/>
        <v>1.0585839682205538</v>
      </c>
      <c r="T226">
        <f t="shared" si="14"/>
        <v>1.1092207799999982</v>
      </c>
      <c r="U226">
        <f t="shared" si="15"/>
        <v>2.3102166018056489</v>
      </c>
    </row>
    <row r="227" spans="17:21">
      <c r="Q227">
        <f>1</f>
        <v>1</v>
      </c>
      <c r="R227">
        <f t="shared" si="12"/>
        <v>2.2299999999999964</v>
      </c>
      <c r="S227">
        <f t="shared" si="13"/>
        <v>1.0577469006663811</v>
      </c>
      <c r="T227">
        <f t="shared" si="14"/>
        <v>1.1142172699999981</v>
      </c>
      <c r="U227">
        <f t="shared" si="15"/>
        <v>2.3083898148727866</v>
      </c>
    </row>
    <row r="228" spans="17:21">
      <c r="Q228">
        <f>1</f>
        <v>1</v>
      </c>
      <c r="R228">
        <f t="shared" si="12"/>
        <v>2.2399999999999962</v>
      </c>
      <c r="S228">
        <f t="shared" si="13"/>
        <v>1.0568668173036104</v>
      </c>
      <c r="T228">
        <f t="shared" si="14"/>
        <v>1.1192137599999981</v>
      </c>
      <c r="U228">
        <f t="shared" si="15"/>
        <v>2.3064691517447935</v>
      </c>
    </row>
    <row r="229" spans="17:21">
      <c r="Q229">
        <f>1</f>
        <v>1</v>
      </c>
      <c r="R229">
        <f t="shared" si="12"/>
        <v>2.249999999999996</v>
      </c>
      <c r="S229">
        <f t="shared" si="13"/>
        <v>1.0559431848370593</v>
      </c>
      <c r="T229">
        <f t="shared" si="14"/>
        <v>1.124210249999998</v>
      </c>
      <c r="U229">
        <f t="shared" si="15"/>
        <v>2.3044534485769286</v>
      </c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02CD2-52F1-41C0-A074-430FA5F30EEE}">
  <dimension ref="A1:K77"/>
  <sheetViews>
    <sheetView workbookViewId="0">
      <selection activeCell="K25" sqref="K25"/>
    </sheetView>
  </sheetViews>
  <sheetFormatPr defaultColWidth="8.81640625" defaultRowHeight="14.5"/>
  <sheetData>
    <row r="1" spans="1:11">
      <c r="A1" t="s">
        <v>21</v>
      </c>
      <c r="B1" t="s">
        <v>1</v>
      </c>
      <c r="C1" t="s">
        <v>4</v>
      </c>
      <c r="D1" t="s">
        <v>0</v>
      </c>
      <c r="F1" t="s">
        <v>22</v>
      </c>
      <c r="G1" t="s">
        <v>15</v>
      </c>
      <c r="H1" t="s">
        <v>16</v>
      </c>
      <c r="I1" t="s">
        <v>0</v>
      </c>
      <c r="J1" t="s">
        <v>20</v>
      </c>
      <c r="K1" t="s">
        <v>23</v>
      </c>
    </row>
    <row r="2" spans="1:11">
      <c r="A2">
        <v>7</v>
      </c>
      <c r="B2">
        <v>75</v>
      </c>
      <c r="C2">
        <v>0.14889330501608</v>
      </c>
      <c r="D2">
        <v>86.814737595338997</v>
      </c>
      <c r="G2">
        <v>1</v>
      </c>
      <c r="H2">
        <v>0.28999999999999998</v>
      </c>
      <c r="I2">
        <f>0.333*H2/G2-0.165*G2+0.511*G2*H2^0.5+0.046*(EXP(H2)-5)^2+0.0528</f>
        <v>0.87695304496735926</v>
      </c>
      <c r="J2">
        <f>H2*0.500006</f>
        <v>0.14500173999999996</v>
      </c>
      <c r="K2">
        <f>I2*98.4376</f>
        <v>86.325153059278932</v>
      </c>
    </row>
    <row r="3" spans="1:11">
      <c r="A3">
        <v>7</v>
      </c>
      <c r="B3">
        <v>75</v>
      </c>
      <c r="C3">
        <v>0.199463221290162</v>
      </c>
      <c r="D3">
        <v>89.350932286751004</v>
      </c>
      <c r="G3">
        <v>1</v>
      </c>
      <c r="H3">
        <f>H2+0.01</f>
        <v>0.3</v>
      </c>
      <c r="I3">
        <f t="shared" ref="I3:I66" si="0">0.333*H3/G3-0.165*G3+0.511*G3*H3^0.5+0.046*(EXP(H3)-5)^2+0.0528</f>
        <v>0.88046864021814186</v>
      </c>
      <c r="J3">
        <f t="shared" ref="J3:J66" si="1">H3*0.500006</f>
        <v>0.15000179999999999</v>
      </c>
      <c r="K3">
        <f t="shared" ref="K3:K66" si="2">I3*98.4376</f>
        <v>86.671219818337363</v>
      </c>
    </row>
    <row r="4" spans="1:11">
      <c r="A4">
        <v>7</v>
      </c>
      <c r="B4">
        <v>75</v>
      </c>
      <c r="C4">
        <v>0.24920644254046001</v>
      </c>
      <c r="D4">
        <v>91.285966714936194</v>
      </c>
      <c r="G4">
        <v>1</v>
      </c>
      <c r="H4">
        <f t="shared" ref="H4:H67" si="3">H3+0.01</f>
        <v>0.31</v>
      </c>
      <c r="I4">
        <f t="shared" si="0"/>
        <v>0.88387789636474401</v>
      </c>
      <c r="J4">
        <f t="shared" si="1"/>
        <v>0.15500185999999999</v>
      </c>
      <c r="K4">
        <f t="shared" si="2"/>
        <v>87.006818811194123</v>
      </c>
    </row>
    <row r="5" spans="1:11">
      <c r="A5">
        <v>7</v>
      </c>
      <c r="B5">
        <v>75</v>
      </c>
      <c r="C5">
        <v>0.29895016209999398</v>
      </c>
      <c r="D5">
        <v>93.100808955214902</v>
      </c>
      <c r="G5">
        <v>1</v>
      </c>
      <c r="H5">
        <f t="shared" si="3"/>
        <v>0.32</v>
      </c>
      <c r="I5">
        <f t="shared" si="0"/>
        <v>0.88718460100254815</v>
      </c>
      <c r="J5">
        <f t="shared" si="1"/>
        <v>0.16000191999999999</v>
      </c>
      <c r="K5">
        <f t="shared" si="2"/>
        <v>87.33232287964843</v>
      </c>
    </row>
    <row r="6" spans="1:11">
      <c r="A6">
        <v>7</v>
      </c>
      <c r="B6">
        <v>75</v>
      </c>
      <c r="C6">
        <v>0.34910797663527599</v>
      </c>
      <c r="D6">
        <v>95.035943045247393</v>
      </c>
      <c r="G6">
        <v>1</v>
      </c>
      <c r="H6">
        <f t="shared" si="3"/>
        <v>0.33</v>
      </c>
      <c r="I6">
        <f t="shared" si="0"/>
        <v>0.89039225952724788</v>
      </c>
      <c r="J6">
        <f t="shared" si="1"/>
        <v>0.16500197999999999</v>
      </c>
      <c r="K6">
        <f t="shared" si="2"/>
        <v>87.648077086439415</v>
      </c>
    </row>
    <row r="7" spans="1:11">
      <c r="A7">
        <v>7</v>
      </c>
      <c r="B7">
        <v>75</v>
      </c>
      <c r="C7">
        <v>0.39927376411834598</v>
      </c>
      <c r="D7">
        <v>95.048002128777</v>
      </c>
      <c r="G7">
        <v>1</v>
      </c>
      <c r="H7">
        <f t="shared" si="3"/>
        <v>0.34</v>
      </c>
      <c r="I7">
        <f t="shared" si="0"/>
        <v>0.89350412584994232</v>
      </c>
      <c r="J7">
        <f t="shared" si="1"/>
        <v>0.17000203999999999</v>
      </c>
      <c r="K7">
        <f t="shared" si="2"/>
        <v>87.954401738766279</v>
      </c>
    </row>
    <row r="8" spans="1:11">
      <c r="A8">
        <v>7</v>
      </c>
      <c r="B8">
        <v>75</v>
      </c>
      <c r="C8">
        <v>0.449027449862616</v>
      </c>
      <c r="D8">
        <v>94.459000610927006</v>
      </c>
      <c r="G8">
        <v>1</v>
      </c>
      <c r="H8">
        <f t="shared" si="3"/>
        <v>0.35000000000000003</v>
      </c>
      <c r="I8">
        <f t="shared" si="0"/>
        <v>0.89652322910713389</v>
      </c>
      <c r="J8">
        <f t="shared" si="1"/>
        <v>0.17500209999999999</v>
      </c>
      <c r="K8">
        <f t="shared" si="2"/>
        <v>88.251595017556411</v>
      </c>
    </row>
    <row r="9" spans="1:11">
      <c r="A9">
        <v>7</v>
      </c>
      <c r="B9">
        <v>75</v>
      </c>
      <c r="C9">
        <v>0.49835707444640298</v>
      </c>
      <c r="D9">
        <v>96.153551001452001</v>
      </c>
      <c r="G9">
        <v>1</v>
      </c>
      <c r="H9">
        <f t="shared" si="3"/>
        <v>0.36000000000000004</v>
      </c>
      <c r="I9">
        <f t="shared" si="0"/>
        <v>0.8994523969918623</v>
      </c>
      <c r="J9">
        <f t="shared" si="1"/>
        <v>0.18000215999999999</v>
      </c>
      <c r="K9">
        <f t="shared" si="2"/>
        <v>88.539935274126151</v>
      </c>
    </row>
    <row r="10" spans="1:11">
      <c r="G10">
        <v>1</v>
      </c>
      <c r="H10">
        <f t="shared" si="3"/>
        <v>0.37000000000000005</v>
      </c>
      <c r="I10">
        <f t="shared" si="0"/>
        <v>0.9022942762198507</v>
      </c>
      <c r="J10">
        <f t="shared" si="1"/>
        <v>0.18500222</v>
      </c>
      <c r="K10">
        <f t="shared" si="2"/>
        <v>88.819683044819172</v>
      </c>
    </row>
    <row r="11" spans="1:11">
      <c r="G11">
        <v>1</v>
      </c>
      <c r="H11">
        <f t="shared" si="3"/>
        <v>0.38000000000000006</v>
      </c>
      <c r="I11">
        <f t="shared" si="0"/>
        <v>0.905051350554825</v>
      </c>
      <c r="J11">
        <f t="shared" si="1"/>
        <v>0.19000228000000002</v>
      </c>
      <c r="K11">
        <f t="shared" si="2"/>
        <v>89.091082825375651</v>
      </c>
    </row>
    <row r="12" spans="1:11">
      <c r="G12">
        <v>1</v>
      </c>
      <c r="H12">
        <f t="shared" si="3"/>
        <v>0.39000000000000007</v>
      </c>
      <c r="I12">
        <f t="shared" si="0"/>
        <v>0.90772595674505985</v>
      </c>
      <c r="J12">
        <f t="shared" si="1"/>
        <v>0.19500234000000002</v>
      </c>
      <c r="K12">
        <f t="shared" si="2"/>
        <v>89.354364639687503</v>
      </c>
    </row>
    <row r="13" spans="1:11">
      <c r="A13" t="s">
        <v>8</v>
      </c>
      <c r="B13">
        <v>75</v>
      </c>
      <c r="C13">
        <v>0.50000597971084004</v>
      </c>
      <c r="D13">
        <v>98.437601219063595</v>
      </c>
      <c r="G13">
        <v>1</v>
      </c>
      <c r="H13">
        <f t="shared" si="3"/>
        <v>0.40000000000000008</v>
      </c>
      <c r="I13">
        <f t="shared" si="0"/>
        <v>0.91032029866487751</v>
      </c>
      <c r="J13">
        <f t="shared" si="1"/>
        <v>0.20000240000000002</v>
      </c>
      <c r="K13">
        <f t="shared" si="2"/>
        <v>89.609745431853753</v>
      </c>
    </row>
    <row r="14" spans="1:11">
      <c r="G14">
        <v>1</v>
      </c>
      <c r="H14">
        <f t="shared" si="3"/>
        <v>0.41000000000000009</v>
      </c>
      <c r="I14">
        <f t="shared" si="0"/>
        <v>0.91283645990739648</v>
      </c>
      <c r="J14">
        <f t="shared" si="1"/>
        <v>0.20500246000000003</v>
      </c>
      <c r="K14">
        <f t="shared" si="2"/>
        <v>89.857430305780341</v>
      </c>
    </row>
    <row r="15" spans="1:11">
      <c r="G15">
        <v>1</v>
      </c>
      <c r="H15">
        <f t="shared" si="3"/>
        <v>0.4200000000000001</v>
      </c>
      <c r="I15">
        <f t="shared" si="0"/>
        <v>0.91527641503600032</v>
      </c>
      <c r="J15">
        <f t="shared" si="1"/>
        <v>0.21000252000000003</v>
      </c>
      <c r="K15">
        <f t="shared" si="2"/>
        <v>90.097613632747795</v>
      </c>
    </row>
    <row r="16" spans="1:11">
      <c r="G16">
        <v>1</v>
      </c>
      <c r="H16">
        <f t="shared" si="3"/>
        <v>0.4300000000000001</v>
      </c>
      <c r="I16">
        <f t="shared" si="0"/>
        <v>0.91764203967008928</v>
      </c>
      <c r="J16">
        <f t="shared" si="1"/>
        <v>0.21500258000000003</v>
      </c>
      <c r="K16">
        <f t="shared" si="2"/>
        <v>90.330480044228381</v>
      </c>
    </row>
    <row r="17" spans="7:11">
      <c r="G17">
        <v>1</v>
      </c>
      <c r="H17">
        <f t="shared" si="3"/>
        <v>0.44000000000000011</v>
      </c>
      <c r="I17">
        <f t="shared" si="0"/>
        <v>0.91993511955429896</v>
      </c>
      <c r="J17">
        <f t="shared" si="1"/>
        <v>0.22000264000000003</v>
      </c>
      <c r="K17">
        <f t="shared" si="2"/>
        <v>90.556205324638256</v>
      </c>
    </row>
    <row r="18" spans="7:11">
      <c r="G18">
        <v>1</v>
      </c>
      <c r="H18">
        <f t="shared" si="3"/>
        <v>0.45000000000000012</v>
      </c>
      <c r="I18">
        <f t="shared" si="0"/>
        <v>0.92215735873845983</v>
      </c>
      <c r="J18">
        <f t="shared" si="1"/>
        <v>0.22500270000000003</v>
      </c>
      <c r="K18">
        <f t="shared" si="2"/>
        <v>90.77495721655302</v>
      </c>
    </row>
    <row r="19" spans="7:11">
      <c r="G19">
        <v>1</v>
      </c>
      <c r="H19">
        <f t="shared" si="3"/>
        <v>0.46000000000000013</v>
      </c>
      <c r="I19">
        <f t="shared" si="0"/>
        <v>0.92431038697730927</v>
      </c>
      <c r="J19">
        <f t="shared" si="1"/>
        <v>0.23000276000000006</v>
      </c>
      <c r="K19">
        <f t="shared" si="2"/>
        <v>90.986896149117584</v>
      </c>
    </row>
    <row r="20" spans="7:11">
      <c r="G20">
        <v>1</v>
      </c>
      <c r="H20">
        <f t="shared" si="3"/>
        <v>0.47000000000000014</v>
      </c>
      <c r="I20">
        <f t="shared" si="0"/>
        <v>0.92639576644365418</v>
      </c>
      <c r="J20">
        <f t="shared" si="1"/>
        <v>0.23500282000000006</v>
      </c>
      <c r="K20">
        <f t="shared" si="2"/>
        <v>91.192175898873856</v>
      </c>
    </row>
    <row r="21" spans="7:11">
      <c r="G21">
        <v>1</v>
      </c>
      <c r="H21">
        <f t="shared" si="3"/>
        <v>0.48000000000000015</v>
      </c>
      <c r="I21">
        <f t="shared" si="0"/>
        <v>0.92841499783581094</v>
      </c>
      <c r="J21">
        <f t="shared" si="1"/>
        <v>0.24000288000000006</v>
      </c>
      <c r="K21">
        <f t="shared" si="2"/>
        <v>91.390944190962429</v>
      </c>
    </row>
    <row r="22" spans="7:11">
      <c r="G22">
        <v>1</v>
      </c>
      <c r="H22">
        <f t="shared" si="3"/>
        <v>0.49000000000000016</v>
      </c>
      <c r="I22">
        <f t="shared" si="0"/>
        <v>0.9303695259492788</v>
      </c>
      <c r="J22">
        <f t="shared" si="1"/>
        <v>0.24500294000000006</v>
      </c>
      <c r="K22">
        <f t="shared" si="2"/>
        <v>91.583343247584736</v>
      </c>
    </row>
    <row r="23" spans="7:11">
      <c r="G23">
        <v>1</v>
      </c>
      <c r="H23">
        <f t="shared" si="3"/>
        <v>0.50000000000000011</v>
      </c>
      <c r="I23">
        <f t="shared" si="0"/>
        <v>0.93226074477338294</v>
      </c>
      <c r="J23">
        <f t="shared" si="1"/>
        <v>0.25000300000000003</v>
      </c>
      <c r="K23">
        <f t="shared" si="2"/>
        <v>91.769510289704357</v>
      </c>
    </row>
    <row r="24" spans="7:11">
      <c r="G24">
        <v>1</v>
      </c>
      <c r="H24">
        <f t="shared" si="3"/>
        <v>0.51000000000000012</v>
      </c>
      <c r="I24">
        <f t="shared" si="0"/>
        <v>0.93409000216578963</v>
      </c>
      <c r="J24">
        <f t="shared" si="1"/>
        <v>0.25500306000000006</v>
      </c>
      <c r="K24">
        <f t="shared" si="2"/>
        <v>91.949577997195135</v>
      </c>
    </row>
    <row r="25" spans="7:11">
      <c r="G25">
        <v>1</v>
      </c>
      <c r="H25">
        <f t="shared" si="3"/>
        <v>0.52000000000000013</v>
      </c>
      <c r="I25">
        <f t="shared" si="0"/>
        <v>0.93585860415110367</v>
      </c>
      <c r="J25">
        <f t="shared" si="1"/>
        <v>0.26000312000000003</v>
      </c>
      <c r="K25">
        <f t="shared" si="2"/>
        <v>92.123674931984681</v>
      </c>
    </row>
    <row r="26" spans="7:11">
      <c r="G26">
        <v>1</v>
      </c>
      <c r="H26">
        <f t="shared" si="3"/>
        <v>0.53000000000000014</v>
      </c>
      <c r="I26">
        <f t="shared" si="0"/>
        <v>0.93756781888402729</v>
      </c>
      <c r="J26">
        <f t="shared" si="1"/>
        <v>0.26500318000000006</v>
      </c>
      <c r="K26">
        <f t="shared" si="2"/>
        <v>92.29192592817833</v>
      </c>
    </row>
    <row r="27" spans="7:11">
      <c r="G27">
        <v>1</v>
      </c>
      <c r="H27">
        <f t="shared" si="3"/>
        <v>0.54000000000000015</v>
      </c>
      <c r="I27">
        <f t="shared" si="0"/>
        <v>0.93921888031264045</v>
      </c>
      <c r="J27">
        <f t="shared" si="1"/>
        <v>0.27000324000000003</v>
      </c>
      <c r="K27">
        <f t="shared" si="2"/>
        <v>92.454452452663574</v>
      </c>
    </row>
    <row r="28" spans="7:11">
      <c r="G28">
        <v>1</v>
      </c>
      <c r="H28">
        <f t="shared" si="3"/>
        <v>0.55000000000000016</v>
      </c>
      <c r="I28">
        <f t="shared" si="0"/>
        <v>0.94081299157312248</v>
      </c>
      <c r="J28">
        <f t="shared" si="1"/>
        <v>0.27500330000000006</v>
      </c>
      <c r="K28">
        <f t="shared" si="2"/>
        <v>92.611372939278411</v>
      </c>
    </row>
    <row r="29" spans="7:11">
      <c r="G29">
        <v>1</v>
      </c>
      <c r="H29">
        <f t="shared" si="3"/>
        <v>0.56000000000000016</v>
      </c>
      <c r="I29">
        <f t="shared" si="0"/>
        <v>0.94235132814356837</v>
      </c>
      <c r="J29">
        <f t="shared" si="1"/>
        <v>0.28000336000000003</v>
      </c>
      <c r="K29">
        <f t="shared" si="2"/>
        <v>92.762803099265327</v>
      </c>
    </row>
    <row r="30" spans="7:11">
      <c r="G30">
        <v>1</v>
      </c>
      <c r="H30">
        <f t="shared" si="3"/>
        <v>0.57000000000000017</v>
      </c>
      <c r="I30">
        <f t="shared" si="0"/>
        <v>0.94383504078138047</v>
      </c>
      <c r="J30">
        <f t="shared" si="1"/>
        <v>0.28500342000000006</v>
      </c>
      <c r="K30">
        <f t="shared" si="2"/>
        <v>92.90885621042122</v>
      </c>
    </row>
    <row r="31" spans="7:11">
      <c r="G31">
        <v>1</v>
      </c>
      <c r="H31">
        <f t="shared" si="3"/>
        <v>0.58000000000000018</v>
      </c>
      <c r="I31">
        <f t="shared" si="0"/>
        <v>0.94526525826595653</v>
      </c>
      <c r="J31">
        <f t="shared" si="1"/>
        <v>0.29000348000000004</v>
      </c>
      <c r="K31">
        <f t="shared" si="2"/>
        <v>93.04964338708092</v>
      </c>
    </row>
    <row r="32" spans="7:11">
      <c r="G32">
        <v>1</v>
      </c>
      <c r="H32">
        <f t="shared" si="3"/>
        <v>0.59000000000000019</v>
      </c>
      <c r="I32">
        <f t="shared" si="0"/>
        <v>0.94664308996599655</v>
      </c>
      <c r="J32">
        <f t="shared" si="1"/>
        <v>0.29500354000000006</v>
      </c>
      <c r="K32">
        <f t="shared" si="2"/>
        <v>93.185273832836785</v>
      </c>
    </row>
    <row r="33" spans="7:11">
      <c r="G33">
        <v>1</v>
      </c>
      <c r="H33">
        <f t="shared" si="3"/>
        <v>0.6000000000000002</v>
      </c>
      <c r="I33">
        <f t="shared" si="0"/>
        <v>0.94796962824864517</v>
      </c>
      <c r="J33">
        <f t="shared" si="1"/>
        <v>0.30000360000000009</v>
      </c>
      <c r="K33">
        <f t="shared" si="2"/>
        <v>93.315855077688838</v>
      </c>
    </row>
    <row r="34" spans="7:11">
      <c r="G34">
        <v>1</v>
      </c>
      <c r="H34">
        <f t="shared" si="3"/>
        <v>0.61000000000000021</v>
      </c>
      <c r="I34">
        <f t="shared" si="0"/>
        <v>0.94924595074585816</v>
      </c>
      <c r="J34">
        <f t="shared" si="1"/>
        <v>0.30500366000000007</v>
      </c>
      <c r="K34">
        <f t="shared" si="2"/>
        <v>93.441493201140489</v>
      </c>
    </row>
    <row r="35" spans="7:11">
      <c r="G35">
        <v>1</v>
      </c>
      <c r="H35">
        <f t="shared" si="3"/>
        <v>0.62000000000000022</v>
      </c>
      <c r="I35">
        <f t="shared" si="0"/>
        <v>0.9504731224917693</v>
      </c>
      <c r="J35">
        <f t="shared" si="1"/>
        <v>0.31000372000000009</v>
      </c>
      <c r="K35">
        <f t="shared" si="2"/>
        <v>93.562293042595797</v>
      </c>
    </row>
    <row r="36" spans="7:11">
      <c r="G36">
        <v>1</v>
      </c>
      <c r="H36">
        <f t="shared" si="3"/>
        <v>0.63000000000000023</v>
      </c>
      <c r="I36">
        <f t="shared" si="0"/>
        <v>0.95165219794341138</v>
      </c>
      <c r="J36">
        <f t="shared" si="1"/>
        <v>0.31500378000000007</v>
      </c>
      <c r="K36">
        <f t="shared" si="2"/>
        <v>93.678358400274362</v>
      </c>
    </row>
    <row r="37" spans="7:11">
      <c r="G37">
        <v>1</v>
      </c>
      <c r="H37">
        <f t="shared" si="3"/>
        <v>0.64000000000000024</v>
      </c>
      <c r="I37">
        <f t="shared" si="0"/>
        <v>0.95278422289590936</v>
      </c>
      <c r="J37">
        <f t="shared" si="1"/>
        <v>0.32000384000000009</v>
      </c>
      <c r="K37">
        <f t="shared" si="2"/>
        <v>93.789792219738374</v>
      </c>
    </row>
    <row r="38" spans="7:11">
      <c r="G38">
        <v>1</v>
      </c>
      <c r="H38">
        <f t="shared" si="3"/>
        <v>0.65000000000000024</v>
      </c>
      <c r="I38">
        <f t="shared" si="0"/>
        <v>0.95387023630214895</v>
      </c>
      <c r="J38">
        <f t="shared" si="1"/>
        <v>0.32500390000000007</v>
      </c>
      <c r="K38">
        <f t="shared" si="2"/>
        <v>93.896696773016416</v>
      </c>
    </row>
    <row r="39" spans="7:11">
      <c r="G39">
        <v>1</v>
      </c>
      <c r="H39">
        <f t="shared" si="3"/>
        <v>0.66000000000000025</v>
      </c>
      <c r="I39">
        <f t="shared" si="0"/>
        <v>0.95491127200596271</v>
      </c>
      <c r="J39">
        <f t="shared" si="1"/>
        <v>0.3300039600000001</v>
      </c>
      <c r="K39">
        <f t="shared" si="2"/>
        <v>93.999173829214158</v>
      </c>
    </row>
    <row r="40" spans="7:11">
      <c r="G40">
        <v>1</v>
      </c>
      <c r="H40">
        <f t="shared" si="3"/>
        <v>0.67000000000000026</v>
      </c>
      <c r="I40">
        <f t="shared" si="0"/>
        <v>0.95590836039700156</v>
      </c>
      <c r="J40">
        <f t="shared" si="1"/>
        <v>0.33500402000000012</v>
      </c>
      <c r="K40">
        <f t="shared" si="2"/>
        <v>94.097324817415881</v>
      </c>
    </row>
    <row r="41" spans="7:11">
      <c r="G41">
        <v>1</v>
      </c>
      <c r="H41">
        <f t="shared" si="3"/>
        <v>0.68000000000000027</v>
      </c>
      <c r="I41">
        <f t="shared" si="0"/>
        <v>0.9568625299946989</v>
      </c>
      <c r="J41">
        <f t="shared" si="1"/>
        <v>0.3400040800000001</v>
      </c>
      <c r="K41">
        <f t="shared" si="2"/>
        <v>94.191250982606178</v>
      </c>
    </row>
    <row r="42" spans="7:11">
      <c r="G42">
        <v>1</v>
      </c>
      <c r="H42">
        <f t="shared" si="3"/>
        <v>0.69000000000000028</v>
      </c>
      <c r="I42">
        <f t="shared" si="0"/>
        <v>0.95777480896805423</v>
      </c>
      <c r="J42">
        <f t="shared" si="1"/>
        <v>0.34500414000000013</v>
      </c>
      <c r="K42">
        <f t="shared" si="2"/>
        <v>94.281053535273742</v>
      </c>
    </row>
    <row r="43" spans="7:11">
      <c r="G43">
        <v>1</v>
      </c>
      <c r="H43">
        <f t="shared" si="3"/>
        <v>0.70000000000000029</v>
      </c>
      <c r="I43">
        <f t="shared" si="0"/>
        <v>0.95864622659734844</v>
      </c>
      <c r="J43">
        <f t="shared" si="1"/>
        <v>0.3500042000000001</v>
      </c>
      <c r="K43">
        <f t="shared" si="2"/>
        <v>94.366833795299144</v>
      </c>
    </row>
    <row r="44" spans="7:11">
      <c r="G44">
        <v>1</v>
      </c>
      <c r="H44">
        <f t="shared" si="3"/>
        <v>0.7100000000000003</v>
      </c>
      <c r="I44">
        <f t="shared" si="0"/>
        <v>0.95947781468337079</v>
      </c>
      <c r="J44">
        <f t="shared" si="1"/>
        <v>0.35500426000000013</v>
      </c>
      <c r="K44">
        <f t="shared" si="2"/>
        <v>94.448693330675781</v>
      </c>
    </row>
    <row r="45" spans="7:11">
      <c r="G45">
        <v>1</v>
      </c>
      <c r="H45">
        <f t="shared" si="3"/>
        <v>0.72000000000000031</v>
      </c>
      <c r="I45">
        <f t="shared" si="0"/>
        <v>0.96027060890924398</v>
      </c>
      <c r="J45">
        <f t="shared" si="1"/>
        <v>0.3600043200000001</v>
      </c>
      <c r="K45">
        <f t="shared" si="2"/>
        <v>94.526734091564592</v>
      </c>
    </row>
    <row r="46" spans="7:11">
      <c r="G46">
        <v>1</v>
      </c>
      <c r="H46">
        <f t="shared" si="3"/>
        <v>0.73000000000000032</v>
      </c>
      <c r="I46">
        <f t="shared" si="0"/>
        <v>0.96102565015950892</v>
      </c>
      <c r="J46">
        <f t="shared" si="1"/>
        <v>0.36500438000000013</v>
      </c>
      <c r="K46">
        <f t="shared" si="2"/>
        <v>94.601058540141679</v>
      </c>
    </row>
    <row r="47" spans="7:11">
      <c r="G47">
        <v>1</v>
      </c>
      <c r="H47">
        <f t="shared" si="3"/>
        <v>0.74000000000000032</v>
      </c>
      <c r="I47">
        <f t="shared" si="0"/>
        <v>0.96174398580073328</v>
      </c>
      <c r="J47">
        <f t="shared" si="1"/>
        <v>0.3700044400000001</v>
      </c>
      <c r="K47">
        <f t="shared" si="2"/>
        <v>94.671769776658266</v>
      </c>
    </row>
    <row r="48" spans="7:11">
      <c r="G48">
        <v>1</v>
      </c>
      <c r="H48">
        <f t="shared" si="3"/>
        <v>0.75000000000000033</v>
      </c>
      <c r="I48">
        <f t="shared" si="0"/>
        <v>0.96242667092756884</v>
      </c>
      <c r="J48">
        <f t="shared" si="1"/>
        <v>0.37500450000000013</v>
      </c>
      <c r="K48">
        <f t="shared" si="2"/>
        <v>94.738971662099658</v>
      </c>
    </row>
    <row r="49" spans="7:11">
      <c r="G49">
        <v>1</v>
      </c>
      <c r="H49">
        <f t="shared" si="3"/>
        <v>0.76000000000000034</v>
      </c>
      <c r="I49">
        <f t="shared" si="0"/>
        <v>0.96307476957785965</v>
      </c>
      <c r="J49">
        <f t="shared" si="1"/>
        <v>0.38000456000000016</v>
      </c>
      <c r="K49">
        <f t="shared" si="2"/>
        <v>94.802768937797524</v>
      </c>
    </row>
    <row r="50" spans="7:11">
      <c r="G50">
        <v>1</v>
      </c>
      <c r="H50">
        <f t="shared" si="3"/>
        <v>0.77000000000000035</v>
      </c>
      <c r="I50">
        <f t="shared" si="0"/>
        <v>0.9636893559201305</v>
      </c>
      <c r="J50">
        <f t="shared" si="1"/>
        <v>0.38500462000000013</v>
      </c>
      <c r="K50">
        <f t="shared" si="2"/>
        <v>94.863267342323439</v>
      </c>
    </row>
    <row r="51" spans="7:11">
      <c r="G51">
        <v>1</v>
      </c>
      <c r="H51">
        <f t="shared" si="3"/>
        <v>0.78000000000000036</v>
      </c>
      <c r="I51">
        <f t="shared" si="0"/>
        <v>0.96427151541652179</v>
      </c>
      <c r="J51">
        <f t="shared" si="1"/>
        <v>0.39000468000000016</v>
      </c>
      <c r="K51">
        <f t="shared" si="2"/>
        <v>94.920573725965411</v>
      </c>
    </row>
    <row r="52" spans="7:11">
      <c r="G52">
        <v>1</v>
      </c>
      <c r="H52">
        <f t="shared" si="3"/>
        <v>0.79000000000000037</v>
      </c>
      <c r="I52">
        <f t="shared" si="0"/>
        <v>0.96482234596401772</v>
      </c>
      <c r="J52">
        <f t="shared" si="1"/>
        <v>0.39500474000000013</v>
      </c>
      <c r="K52">
        <f t="shared" si="2"/>
        <v>94.974796163067595</v>
      </c>
    </row>
    <row r="53" spans="7:11">
      <c r="G53">
        <v>1</v>
      </c>
      <c r="H53">
        <f t="shared" si="3"/>
        <v>0.80000000000000038</v>
      </c>
      <c r="I53">
        <f t="shared" si="0"/>
        <v>0.96534295901659717</v>
      </c>
      <c r="J53">
        <f t="shared" si="1"/>
        <v>0.40000480000000016</v>
      </c>
      <c r="K53">
        <f t="shared" si="2"/>
        <v>95.02604406249219</v>
      </c>
    </row>
    <row r="54" spans="7:11">
      <c r="G54">
        <v>1</v>
      </c>
      <c r="H54">
        <f t="shared" si="3"/>
        <v>0.81000000000000039</v>
      </c>
      <c r="I54">
        <f t="shared" si="0"/>
        <v>0.96583448069076105</v>
      </c>
      <c r="J54">
        <f t="shared" si="1"/>
        <v>0.40500486000000013</v>
      </c>
      <c r="K54">
        <f t="shared" si="2"/>
        <v>95.074428276444863</v>
      </c>
    </row>
    <row r="55" spans="7:11">
      <c r="G55">
        <v>1</v>
      </c>
      <c r="H55">
        <f t="shared" si="3"/>
        <v>0.8200000000000004</v>
      </c>
      <c r="I55">
        <f t="shared" si="0"/>
        <v>0.96629805285671067</v>
      </c>
      <c r="J55">
        <f t="shared" si="1"/>
        <v>0.41000492000000016</v>
      </c>
      <c r="K55">
        <f t="shared" si="2"/>
        <v>95.120061207887744</v>
      </c>
    </row>
    <row r="56" spans="7:11">
      <c r="G56">
        <v>1</v>
      </c>
      <c r="H56">
        <f t="shared" si="3"/>
        <v>0.8300000000000004</v>
      </c>
      <c r="I56">
        <f t="shared" si="0"/>
        <v>0.96673483421730688</v>
      </c>
      <c r="J56">
        <f t="shared" si="1"/>
        <v>0.41500498000000013</v>
      </c>
      <c r="K56">
        <f t="shared" si="2"/>
        <v>95.163056916749568</v>
      </c>
    </row>
    <row r="57" spans="7:11">
      <c r="G57">
        <v>1</v>
      </c>
      <c r="H57">
        <f t="shared" si="3"/>
        <v>0.84000000000000041</v>
      </c>
      <c r="I57">
        <f t="shared" si="0"/>
        <v>0.96714600137679541</v>
      </c>
      <c r="J57">
        <f t="shared" si="1"/>
        <v>0.42000504000000016</v>
      </c>
      <c r="K57">
        <f t="shared" si="2"/>
        <v>95.203531225128444</v>
      </c>
    </row>
    <row r="58" spans="7:11">
      <c r="G58">
        <v>1</v>
      </c>
      <c r="H58">
        <f t="shared" si="3"/>
        <v>0.85000000000000042</v>
      </c>
      <c r="I58">
        <f t="shared" si="0"/>
        <v>0.96753274990116178</v>
      </c>
      <c r="J58">
        <f t="shared" si="1"/>
        <v>0.42500510000000019</v>
      </c>
      <c r="K58">
        <f t="shared" si="2"/>
        <v>95.241601821670599</v>
      </c>
    </row>
    <row r="59" spans="7:11">
      <c r="G59">
        <v>1</v>
      </c>
      <c r="H59">
        <f t="shared" si="3"/>
        <v>0.86000000000000043</v>
      </c>
      <c r="I59">
        <f t="shared" si="0"/>
        <v>0.96789629537186317</v>
      </c>
      <c r="J59">
        <f t="shared" si="1"/>
        <v>0.43000516000000016</v>
      </c>
      <c r="K59">
        <f t="shared" si="2"/>
        <v>95.277388365297327</v>
      </c>
    </row>
    <row r="60" spans="7:11">
      <c r="G60">
        <v>1</v>
      </c>
      <c r="H60">
        <f t="shared" si="3"/>
        <v>0.87000000000000044</v>
      </c>
      <c r="I60">
        <f t="shared" si="0"/>
        <v>0.96823787443458276</v>
      </c>
      <c r="J60">
        <f t="shared" si="1"/>
        <v>0.43500522000000019</v>
      </c>
      <c r="K60">
        <f t="shared" si="2"/>
        <v>95.311012588441685</v>
      </c>
    </row>
    <row r="61" spans="7:11">
      <c r="G61">
        <v>1</v>
      </c>
      <c r="H61">
        <f t="shared" si="3"/>
        <v>0.88000000000000045</v>
      </c>
      <c r="I61">
        <f t="shared" si="0"/>
        <v>0.96855874584455703</v>
      </c>
      <c r="J61">
        <f t="shared" si="1"/>
        <v>0.44000528000000017</v>
      </c>
      <c r="K61">
        <f t="shared" si="2"/>
        <v>95.342598399948173</v>
      </c>
    </row>
    <row r="62" spans="7:11">
      <c r="G62">
        <v>1</v>
      </c>
      <c r="H62">
        <f t="shared" si="3"/>
        <v>0.89000000000000046</v>
      </c>
      <c r="I62">
        <f t="shared" si="0"/>
        <v>0.96886019150994285</v>
      </c>
      <c r="J62">
        <f t="shared" si="1"/>
        <v>0.44500534000000019</v>
      </c>
      <c r="K62">
        <f t="shared" si="2"/>
        <v>95.372271987779158</v>
      </c>
    </row>
    <row r="63" spans="7:11">
      <c r="G63">
        <v>1</v>
      </c>
      <c r="H63">
        <f t="shared" si="3"/>
        <v>0.90000000000000047</v>
      </c>
      <c r="I63">
        <f t="shared" si="0"/>
        <v>0.96914351753461114</v>
      </c>
      <c r="J63">
        <f t="shared" si="1"/>
        <v>0.45000540000000017</v>
      </c>
      <c r="K63">
        <f t="shared" si="2"/>
        <v>95.400161921665045</v>
      </c>
    </row>
    <row r="64" spans="7:11">
      <c r="G64">
        <v>1</v>
      </c>
      <c r="H64">
        <f t="shared" si="3"/>
        <v>0.91000000000000048</v>
      </c>
      <c r="I64">
        <f t="shared" si="0"/>
        <v>0.969410055261687</v>
      </c>
      <c r="J64">
        <f t="shared" si="1"/>
        <v>0.45500546000000019</v>
      </c>
      <c r="K64">
        <f t="shared" si="2"/>
        <v>95.426399255827846</v>
      </c>
    </row>
    <row r="65" spans="7:11">
      <c r="G65">
        <v>1</v>
      </c>
      <c r="H65">
        <f t="shared" si="3"/>
        <v>0.92000000000000048</v>
      </c>
      <c r="I65">
        <f t="shared" si="0"/>
        <v>0.96966116231908916</v>
      </c>
      <c r="J65">
        <f t="shared" si="1"/>
        <v>0.46000552000000022</v>
      </c>
      <c r="K65">
        <f t="shared" si="2"/>
        <v>95.451117631901582</v>
      </c>
    </row>
    <row r="66" spans="7:11">
      <c r="G66">
        <v>1</v>
      </c>
      <c r="H66">
        <f t="shared" si="3"/>
        <v>0.93000000000000049</v>
      </c>
      <c r="I66">
        <f t="shared" si="0"/>
        <v>0.96989822366826695</v>
      </c>
      <c r="J66">
        <f t="shared" si="1"/>
        <v>0.4650055800000002</v>
      </c>
      <c r="K66">
        <f t="shared" si="2"/>
        <v>95.474453382167397</v>
      </c>
    </row>
    <row r="67" spans="7:11">
      <c r="G67">
        <v>1</v>
      </c>
      <c r="H67">
        <f t="shared" si="3"/>
        <v>0.9400000000000005</v>
      </c>
      <c r="I67">
        <f t="shared" ref="I67:I73" si="4">0.333*H67/G67-0.165*G67+0.511*G67*H67^0.5+0.046*(EXP(H67)-5)^2+0.0528</f>
        <v>0.97012265265727682</v>
      </c>
      <c r="J67">
        <f t="shared" ref="J67:J73" si="5">H67*0.500006</f>
        <v>0.47000564000000022</v>
      </c>
      <c r="K67">
        <f t="shared" ref="K67:K73" si="6">I67*98.4376</f>
        <v>95.496545633215959</v>
      </c>
    </row>
    <row r="68" spans="7:11">
      <c r="G68">
        <v>1</v>
      </c>
      <c r="H68">
        <f t="shared" ref="H68:H73" si="7">H67+0.01</f>
        <v>0.95000000000000051</v>
      </c>
      <c r="I68">
        <f t="shared" si="4"/>
        <v>0.97033589207929527</v>
      </c>
      <c r="J68">
        <f t="shared" si="5"/>
        <v>0.4750057000000002</v>
      </c>
      <c r="K68">
        <f t="shared" si="6"/>
        <v>95.517536410144842</v>
      </c>
    </row>
    <row r="69" spans="7:11">
      <c r="G69">
        <v>1</v>
      </c>
      <c r="H69">
        <f t="shared" si="7"/>
        <v>0.96000000000000052</v>
      </c>
      <c r="I69">
        <f t="shared" si="4"/>
        <v>0.97053941523762188</v>
      </c>
      <c r="J69">
        <f t="shared" si="5"/>
        <v>0.48000576000000023</v>
      </c>
      <c r="K69">
        <f t="shared" si="6"/>
        <v>95.53757074139493</v>
      </c>
    </row>
    <row r="70" spans="7:11">
      <c r="G70">
        <v>1</v>
      </c>
      <c r="H70">
        <f t="shared" si="7"/>
        <v>0.97000000000000053</v>
      </c>
      <c r="I70">
        <f t="shared" si="4"/>
        <v>0.97073472701818531</v>
      </c>
      <c r="J70">
        <f t="shared" si="5"/>
        <v>0.4850058200000002</v>
      </c>
      <c r="K70">
        <f t="shared" si="6"/>
        <v>95.556796764325327</v>
      </c>
    </row>
    <row r="71" spans="7:11">
      <c r="G71">
        <v>1</v>
      </c>
      <c r="H71">
        <f t="shared" si="7"/>
        <v>0.98000000000000054</v>
      </c>
      <c r="I71">
        <f t="shared" si="4"/>
        <v>0.97092336497052922</v>
      </c>
      <c r="J71">
        <f t="shared" si="5"/>
        <v>0.49000588000000023</v>
      </c>
      <c r="K71">
        <f t="shared" si="6"/>
        <v>95.575365831622975</v>
      </c>
    </row>
    <row r="72" spans="7:11">
      <c r="G72">
        <v>1</v>
      </c>
      <c r="H72">
        <f t="shared" si="7"/>
        <v>0.99000000000000055</v>
      </c>
      <c r="I72">
        <f t="shared" si="4"/>
        <v>0.97110690039822867</v>
      </c>
      <c r="J72">
        <f t="shared" si="5"/>
        <v>0.4950059400000002</v>
      </c>
      <c r="K72">
        <f t="shared" si="6"/>
        <v>95.593432618640676</v>
      </c>
    </row>
    <row r="73" spans="7:11">
      <c r="G73">
        <v>1</v>
      </c>
      <c r="H73">
        <f t="shared" si="7"/>
        <v>1.0000000000000004</v>
      </c>
      <c r="I73">
        <f t="shared" si="4"/>
        <v>0.97128693945964906</v>
      </c>
      <c r="J73">
        <f t="shared" si="5"/>
        <v>0.50000600000000017</v>
      </c>
      <c r="K73">
        <f t="shared" si="6"/>
        <v>95.611155231753159</v>
      </c>
    </row>
    <row r="75" spans="7:11" ht="6" customHeight="1"/>
    <row r="76" spans="7:11" hidden="1"/>
    <row r="77" spans="7:11" hidden="1"/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72037-8F44-4191-AD36-C3C839F37AB5}">
  <dimension ref="A1:H14"/>
  <sheetViews>
    <sheetView tabSelected="1" workbookViewId="0">
      <selection activeCell="H44" sqref="H44"/>
    </sheetView>
  </sheetViews>
  <sheetFormatPr defaultColWidth="8.81640625" defaultRowHeight="14.5"/>
  <sheetData>
    <row r="1" spans="1:8">
      <c r="A1" t="s">
        <v>1</v>
      </c>
      <c r="B1" t="s">
        <v>4</v>
      </c>
      <c r="C1" t="s">
        <v>0</v>
      </c>
      <c r="E1" t="s">
        <v>11</v>
      </c>
      <c r="F1" t="s">
        <v>1</v>
      </c>
      <c r="G1" t="s">
        <v>4</v>
      </c>
      <c r="H1" t="s">
        <v>0</v>
      </c>
    </row>
    <row r="2" spans="1:8">
      <c r="A2">
        <v>1</v>
      </c>
      <c r="B2">
        <v>0.29778303663572042</v>
      </c>
      <c r="C2">
        <v>0.88192659710658317</v>
      </c>
      <c r="F2">
        <v>1</v>
      </c>
      <c r="G2">
        <v>0.49840690419806971</v>
      </c>
      <c r="H2">
        <v>0.9273485610674802</v>
      </c>
    </row>
    <row r="3" spans="1:8">
      <c r="A3">
        <v>1</v>
      </c>
      <c r="B3">
        <v>0.39892165552045777</v>
      </c>
      <c r="C3">
        <v>0.90769108843319013</v>
      </c>
      <c r="F3">
        <v>1</v>
      </c>
      <c r="G3">
        <v>0.79853794578134263</v>
      </c>
      <c r="H3">
        <v>0.9655660248601855</v>
      </c>
    </row>
    <row r="4" spans="1:8">
      <c r="A4">
        <v>1</v>
      </c>
      <c r="B4">
        <v>0.59789314948219419</v>
      </c>
      <c r="C4">
        <v>0.94578503493802057</v>
      </c>
      <c r="F4">
        <v>0.73333333333333328</v>
      </c>
      <c r="G4">
        <v>0.49922910457231717</v>
      </c>
      <c r="H4">
        <v>0.93589656485050932</v>
      </c>
    </row>
    <row r="5" spans="1:8">
      <c r="A5">
        <v>1</v>
      </c>
      <c r="B5">
        <v>0.69820757477965467</v>
      </c>
      <c r="C5">
        <v>0.96544352000909606</v>
      </c>
      <c r="F5">
        <v>0.73333333333333328</v>
      </c>
      <c r="G5">
        <v>0.89802020463941035</v>
      </c>
      <c r="H5">
        <v>0.98888649378572302</v>
      </c>
    </row>
    <row r="6" spans="1:8">
      <c r="A6">
        <v>1</v>
      </c>
      <c r="B6">
        <v>0.89804412319575377</v>
      </c>
      <c r="C6">
        <v>0.95958252345574258</v>
      </c>
    </row>
    <row r="7" spans="1:8">
      <c r="A7">
        <v>1</v>
      </c>
      <c r="B7">
        <v>0.99670218846654401</v>
      </c>
      <c r="C7">
        <v>0.97679698612574872</v>
      </c>
    </row>
    <row r="8" spans="1:8">
      <c r="A8">
        <v>0.73333333333333328</v>
      </c>
      <c r="B8">
        <v>0.29695186680284241</v>
      </c>
      <c r="C8">
        <v>0.88436758219729561</v>
      </c>
    </row>
    <row r="9" spans="1:8">
      <c r="A9">
        <v>0.73333333333333328</v>
      </c>
      <c r="B9">
        <v>0.39642615280879834</v>
      </c>
      <c r="C9">
        <v>0.91745604123282554</v>
      </c>
    </row>
    <row r="10" spans="1:8">
      <c r="A10">
        <v>0.73333333333333328</v>
      </c>
      <c r="B10">
        <v>0.59788218681053829</v>
      </c>
      <c r="C10">
        <v>0.95921602133926154</v>
      </c>
    </row>
    <row r="11" spans="1:8">
      <c r="A11">
        <v>0.73333333333333328</v>
      </c>
      <c r="B11">
        <v>0.69903376157996111</v>
      </c>
      <c r="C11">
        <v>0.96910752873712991</v>
      </c>
    </row>
    <row r="12" spans="1:8">
      <c r="A12">
        <v>0.73333333333333328</v>
      </c>
      <c r="B12">
        <v>0.79768684381818022</v>
      </c>
      <c r="C12">
        <v>0.99242698522588113</v>
      </c>
    </row>
    <row r="13" spans="1:8">
      <c r="A13">
        <v>0.73333333333333328</v>
      </c>
      <c r="B13">
        <v>0.89802020463941035</v>
      </c>
      <c r="C13">
        <v>0.98888649378572302</v>
      </c>
    </row>
    <row r="14" spans="1:8" ht="14.25" customHeight="1">
      <c r="A14">
        <v>0.73333333333333328</v>
      </c>
      <c r="B14">
        <v>0.99999995942216713</v>
      </c>
      <c r="C14">
        <v>1.0000000123841255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2D7D6-3873-4351-9BF6-680C2E88AE8A}">
  <dimension ref="A1:H27"/>
  <sheetViews>
    <sheetView workbookViewId="0">
      <selection activeCell="C2" sqref="C2"/>
    </sheetView>
  </sheetViews>
  <sheetFormatPr defaultColWidth="8.81640625" defaultRowHeight="14.5"/>
  <sheetData>
    <row r="1" spans="1:8">
      <c r="A1" t="s">
        <v>1</v>
      </c>
      <c r="B1" t="s">
        <v>4</v>
      </c>
      <c r="C1" t="s">
        <v>5</v>
      </c>
      <c r="E1" t="s">
        <v>11</v>
      </c>
      <c r="F1" t="s">
        <v>1</v>
      </c>
      <c r="G1" t="s">
        <v>4</v>
      </c>
      <c r="H1" t="s">
        <v>5</v>
      </c>
    </row>
    <row r="2" spans="1:8">
      <c r="A2">
        <v>1</v>
      </c>
      <c r="B2">
        <v>0.299009769203675</v>
      </c>
      <c r="C2">
        <v>0.81754302881363805</v>
      </c>
      <c r="F2">
        <v>1</v>
      </c>
      <c r="G2">
        <v>0.59919569725909794</v>
      </c>
      <c r="H2">
        <v>0.87692326173801505</v>
      </c>
    </row>
    <row r="3" spans="1:8">
      <c r="A3">
        <v>1</v>
      </c>
      <c r="B3">
        <v>0.39795400597458219</v>
      </c>
      <c r="C3">
        <v>0.83696688567715916</v>
      </c>
      <c r="F3">
        <v>0.8666666666666667</v>
      </c>
      <c r="G3">
        <v>0.69976994229224121</v>
      </c>
      <c r="H3">
        <v>0.92235800690445546</v>
      </c>
    </row>
    <row r="4" spans="1:8">
      <c r="A4">
        <v>1</v>
      </c>
      <c r="B4">
        <v>0.50025348660163038</v>
      </c>
      <c r="C4">
        <v>0.85639259804249435</v>
      </c>
      <c r="F4">
        <v>0.73333333333333328</v>
      </c>
      <c r="G4">
        <v>0.59910046992743105</v>
      </c>
      <c r="H4">
        <v>0.92894318284204291</v>
      </c>
    </row>
    <row r="5" spans="1:8">
      <c r="A5">
        <v>1</v>
      </c>
      <c r="B5">
        <v>0.69897671888060009</v>
      </c>
      <c r="C5">
        <v>0.89745438930898758</v>
      </c>
      <c r="F5">
        <v>1</v>
      </c>
      <c r="G5">
        <v>0.89844092352831695</v>
      </c>
      <c r="H5">
        <v>0.93816053493954199</v>
      </c>
    </row>
    <row r="6" spans="1:8">
      <c r="A6">
        <v>1</v>
      </c>
      <c r="B6">
        <v>0.79875672744538262</v>
      </c>
      <c r="C6">
        <v>0.9185389202959634</v>
      </c>
      <c r="F6">
        <v>1</v>
      </c>
      <c r="G6">
        <v>0.49913384595986382</v>
      </c>
      <c r="H6">
        <v>0.85720320424554708</v>
      </c>
    </row>
    <row r="7" spans="1:8">
      <c r="A7">
        <v>1</v>
      </c>
      <c r="B7">
        <v>0.89937858614435928</v>
      </c>
      <c r="C7">
        <v>0.93796370491039172</v>
      </c>
      <c r="F7">
        <v>1</v>
      </c>
      <c r="G7">
        <v>0.99907929366415227</v>
      </c>
      <c r="H7">
        <v>0.95651086321490686</v>
      </c>
    </row>
    <row r="8" spans="1:8">
      <c r="A8">
        <v>1</v>
      </c>
      <c r="B8">
        <v>1.0000004448433359</v>
      </c>
      <c r="C8">
        <v>0.95738848952481981</v>
      </c>
    </row>
    <row r="9" spans="1:8">
      <c r="A9">
        <v>0.8666666666666667</v>
      </c>
      <c r="B9">
        <v>0.29899153418271829</v>
      </c>
      <c r="C9">
        <v>0.82750429030164152</v>
      </c>
    </row>
    <row r="10" spans="1:8">
      <c r="A10">
        <v>0.8666666666666667</v>
      </c>
      <c r="B10">
        <v>0.39792564038642725</v>
      </c>
      <c r="C10">
        <v>0.85246218132516793</v>
      </c>
    </row>
    <row r="11" spans="1:8">
      <c r="A11">
        <v>0.8666666666666667</v>
      </c>
      <c r="B11">
        <v>0.49937719253896035</v>
      </c>
      <c r="C11">
        <v>0.87686806055904953</v>
      </c>
    </row>
    <row r="12" spans="1:8">
      <c r="A12">
        <v>0.8666666666666667</v>
      </c>
      <c r="B12">
        <v>0.598313324856109</v>
      </c>
      <c r="C12">
        <v>0.90071914475057269</v>
      </c>
    </row>
    <row r="13" spans="1:8">
      <c r="A13">
        <v>0.8666666666666667</v>
      </c>
      <c r="B13">
        <v>0.79870810072282938</v>
      </c>
      <c r="C13">
        <v>0.94510228426397902</v>
      </c>
    </row>
    <row r="14" spans="1:8">
      <c r="A14">
        <v>0.8666666666666667</v>
      </c>
      <c r="B14">
        <v>0.90016978344256071</v>
      </c>
      <c r="C14">
        <v>0.96397412933785909</v>
      </c>
    </row>
    <row r="15" spans="1:8">
      <c r="A15">
        <v>0.8666666666666667</v>
      </c>
      <c r="B15">
        <v>0.9991200985537867</v>
      </c>
      <c r="C15">
        <v>0.98007756570537774</v>
      </c>
    </row>
    <row r="16" spans="1:8">
      <c r="A16">
        <v>0.73333333333333328</v>
      </c>
      <c r="B16">
        <v>0.29811524012005025</v>
      </c>
      <c r="C16">
        <v>0.84797975281820026</v>
      </c>
    </row>
    <row r="17" spans="1:3">
      <c r="A17">
        <v>0.73333333333333328</v>
      </c>
      <c r="B17">
        <v>0.39788106589075328</v>
      </c>
      <c r="C17">
        <v>0.87681193162918059</v>
      </c>
    </row>
    <row r="18" spans="1:3">
      <c r="A18">
        <v>0.73333333333333328</v>
      </c>
      <c r="B18">
        <v>0.49848975485237235</v>
      </c>
      <c r="C18">
        <v>0.90343096065160966</v>
      </c>
    </row>
    <row r="19" spans="1:3">
      <c r="A19">
        <v>0.73333333333333328</v>
      </c>
      <c r="B19">
        <v>0.69971625028608886</v>
      </c>
      <c r="C19">
        <v>0.95168838795246979</v>
      </c>
    </row>
    <row r="20" spans="1:3">
      <c r="A20">
        <v>0.73333333333333328</v>
      </c>
      <c r="B20">
        <v>0.79866251317043568</v>
      </c>
      <c r="C20">
        <v>0.9700054379839913</v>
      </c>
    </row>
    <row r="21" spans="1:3">
      <c r="A21">
        <v>0.73333333333333328</v>
      </c>
      <c r="B21">
        <v>0.89846278286961445</v>
      </c>
      <c r="C21">
        <v>0.98002190065096062</v>
      </c>
    </row>
    <row r="22" spans="1:3">
      <c r="A22">
        <v>0.73333333333333328</v>
      </c>
      <c r="B22">
        <v>0.99908362851187327</v>
      </c>
      <c r="C22">
        <v>1.0000000886813887</v>
      </c>
    </row>
    <row r="23" spans="1:3">
      <c r="A23">
        <v>1</v>
      </c>
      <c r="B23">
        <v>0.2986687074326177</v>
      </c>
      <c r="C23">
        <v>0.81672453889854968</v>
      </c>
    </row>
    <row r="24" spans="1:3">
      <c r="A24">
        <v>1</v>
      </c>
      <c r="B24">
        <v>0.39930707756845302</v>
      </c>
      <c r="C24">
        <v>0.83615429820401277</v>
      </c>
    </row>
    <row r="25" spans="1:3">
      <c r="A25">
        <v>1</v>
      </c>
      <c r="B25">
        <v>0.59896061635267961</v>
      </c>
      <c r="C25">
        <v>0.87609324822688539</v>
      </c>
    </row>
    <row r="26" spans="1:3">
      <c r="A26">
        <v>1</v>
      </c>
      <c r="B26">
        <v>0.69878738474409041</v>
      </c>
      <c r="C26">
        <v>0.89822158529851803</v>
      </c>
    </row>
    <row r="27" spans="1:3">
      <c r="A27">
        <v>1</v>
      </c>
      <c r="B27">
        <v>0.79942575487992573</v>
      </c>
      <c r="C27">
        <v>0.9176513446039809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ORIGIN_monica</vt:lpstr>
      <vt:lpstr>HTO</vt:lpstr>
      <vt:lpstr>plotV</vt:lpstr>
      <vt:lpstr>plotFE</vt:lpstr>
      <vt:lpstr>trainPTJFE</vt:lpstr>
      <vt:lpstr>trainPTJV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YUANJING</dc:creator>
  <cp:lastModifiedBy>Zhao, Yuanjing (PG/R - Chemistry &amp; Chem Eng)</cp:lastModifiedBy>
  <dcterms:created xsi:type="dcterms:W3CDTF">2015-06-05T18:17:20Z</dcterms:created>
  <dcterms:modified xsi:type="dcterms:W3CDTF">2026-01-17T14:06:36Z</dcterms:modified>
</cp:coreProperties>
</file>