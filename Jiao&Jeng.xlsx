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YUANJING\Desktop\GM_SI_FILES\model_file\DATASET\"/>
    </mc:Choice>
  </mc:AlternateContent>
  <xr:revisionPtr revIDLastSave="0" documentId="13_ncr:1_{EB9B2E1A-191D-47BC-BA0C-983F7EEFBEAF}" xr6:coauthVersionLast="47" xr6:coauthVersionMax="47" xr10:uidLastSave="{00000000-0000-0000-0000-000000000000}"/>
  <bookViews>
    <workbookView xWindow="-110" yWindow="-110" windowWidth="29020" windowHeight="17500" activeTab="10" xr2:uid="{00000000-000D-0000-FFFF-FFFF00000000}"/>
  </bookViews>
  <sheets>
    <sheet name="original" sheetId="4" r:id="rId1"/>
    <sheet name="xo" sheetId="5" r:id="rId2"/>
    <sheet name="yFE" sheetId="8" r:id="rId3"/>
    <sheet name="ySPCE" sheetId="10" r:id="rId4"/>
    <sheet name="Jiao" sheetId="3" r:id="rId5"/>
    <sheet name="tVTFE" sheetId="20" r:id="rId6"/>
    <sheet name="tVTAPCE" sheetId="21" r:id="rId7"/>
    <sheet name="tVTJ" sheetId="22" r:id="rId8"/>
    <sheet name="Jiao_ORIGIN_DATA" sheetId="19" r:id="rId9"/>
    <sheet name="new" sheetId="13" r:id="rId10"/>
    <sheet name="SR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0" i="19" l="1"/>
  <c r="J15" i="19"/>
  <c r="AD48" i="19"/>
  <c r="AD50" i="19"/>
  <c r="AD52" i="19"/>
  <c r="AD56" i="19"/>
  <c r="AD57" i="19"/>
  <c r="AD59" i="19"/>
  <c r="AD61" i="19"/>
  <c r="AC61" i="19"/>
  <c r="AC60" i="19"/>
  <c r="AD60" i="19" s="1"/>
  <c r="AC59" i="19"/>
  <c r="AC58" i="19"/>
  <c r="AD58" i="19" s="1"/>
  <c r="AC57" i="19"/>
  <c r="AC56" i="19"/>
  <c r="AC52" i="19"/>
  <c r="AC51" i="19"/>
  <c r="AD51" i="19" s="1"/>
  <c r="AC50" i="19"/>
  <c r="AC49" i="19"/>
  <c r="AD49" i="19" s="1"/>
  <c r="AC48" i="19"/>
  <c r="AC47" i="19"/>
  <c r="AD47" i="19" s="1"/>
  <c r="J18" i="19"/>
  <c r="AB53" i="19"/>
  <c r="AC53" i="19" s="1"/>
  <c r="AD53" i="19" s="1"/>
  <c r="AB45" i="19"/>
  <c r="AC45" i="19" s="1"/>
  <c r="AD45" i="19" s="1"/>
  <c r="AB46" i="19"/>
  <c r="AC46" i="19" s="1"/>
  <c r="AD46" i="19" s="1"/>
  <c r="AB47" i="19"/>
  <c r="AB48" i="19"/>
  <c r="AB49" i="19"/>
  <c r="AB51" i="19"/>
  <c r="AB52" i="19"/>
  <c r="AB54" i="19"/>
  <c r="AC54" i="19" s="1"/>
  <c r="AD54" i="19" s="1"/>
  <c r="AB55" i="19"/>
  <c r="AC55" i="19" s="1"/>
  <c r="AD55" i="19" s="1"/>
  <c r="AB56" i="19"/>
  <c r="AB57" i="19"/>
  <c r="AB58" i="19"/>
  <c r="AB59" i="19"/>
  <c r="AB60" i="19"/>
  <c r="AB61" i="19"/>
  <c r="AB44" i="19"/>
  <c r="AC44" i="19" s="1"/>
  <c r="AD44" i="19" s="1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6" i="19"/>
  <c r="Z37" i="19"/>
  <c r="Z38" i="19"/>
  <c r="Z21" i="19"/>
  <c r="AF23" i="19"/>
  <c r="J9" i="19"/>
  <c r="J10" i="19"/>
  <c r="J11" i="19"/>
  <c r="J12" i="19"/>
  <c r="J13" i="19"/>
  <c r="J14" i="19"/>
  <c r="J16" i="19"/>
  <c r="J17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" i="19"/>
  <c r="J4" i="19"/>
  <c r="J5" i="19"/>
  <c r="J6" i="19"/>
  <c r="J7" i="19"/>
  <c r="J8" i="19"/>
  <c r="J2" i="19"/>
  <c r="H28" i="13" l="1"/>
  <c r="E29" i="4"/>
  <c r="K2" i="4"/>
  <c r="K46" i="3"/>
  <c r="K47" i="3"/>
  <c r="A47" i="20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2" i="22"/>
  <c r="K15" i="3"/>
  <c r="J15" i="3"/>
  <c r="L15" i="3"/>
  <c r="C21" i="3"/>
  <c r="C22" i="3"/>
  <c r="C20" i="3"/>
  <c r="C19" i="3"/>
  <c r="C18" i="3"/>
  <c r="C17" i="3"/>
  <c r="C16" i="3"/>
  <c r="C15" i="3"/>
  <c r="I15" i="3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F37" i="19"/>
  <c r="AF38" i="19"/>
  <c r="AF39" i="19"/>
  <c r="AF40" i="19"/>
  <c r="H34" i="13"/>
  <c r="K34" i="13"/>
  <c r="AE19" i="19"/>
  <c r="AE18" i="19"/>
  <c r="AE17" i="19"/>
  <c r="AE16" i="19"/>
  <c r="AE15" i="19"/>
  <c r="AE14" i="19"/>
  <c r="AE13" i="19"/>
  <c r="AE12" i="19"/>
  <c r="AE11" i="19"/>
  <c r="AE10" i="19"/>
  <c r="AE9" i="19"/>
  <c r="AE8" i="19"/>
  <c r="AE7" i="19"/>
  <c r="AE6" i="19"/>
  <c r="AE5" i="19"/>
  <c r="AE4" i="19"/>
  <c r="AE3" i="19"/>
  <c r="AE2" i="19"/>
  <c r="H37" i="3"/>
  <c r="H38" i="3"/>
  <c r="H39" i="3"/>
  <c r="H40" i="3"/>
  <c r="H41" i="3"/>
  <c r="H42" i="3"/>
  <c r="H43" i="3"/>
  <c r="H44" i="3"/>
  <c r="H45" i="3"/>
  <c r="H36" i="3"/>
  <c r="H46" i="3"/>
  <c r="K2" i="13" l="1"/>
  <c r="C37" i="3"/>
  <c r="L37" i="3" s="1"/>
  <c r="K37" i="3" s="1"/>
  <c r="G37" i="3" s="1"/>
  <c r="C38" i="3"/>
  <c r="L38" i="3" s="1"/>
  <c r="K38" i="3" s="1"/>
  <c r="G38" i="3" s="1"/>
  <c r="C39" i="3"/>
  <c r="L39" i="3" s="1"/>
  <c r="K39" i="3" s="1"/>
  <c r="G39" i="3" s="1"/>
  <c r="C40" i="3"/>
  <c r="L40" i="3" s="1"/>
  <c r="K40" i="3" s="1"/>
  <c r="G40" i="3" s="1"/>
  <c r="C41" i="3"/>
  <c r="L41" i="3" s="1"/>
  <c r="K41" i="3" s="1"/>
  <c r="G41" i="3" s="1"/>
  <c r="C42" i="3"/>
  <c r="L42" i="3" s="1"/>
  <c r="K42" i="3" s="1"/>
  <c r="G42" i="3" s="1"/>
  <c r="C43" i="3"/>
  <c r="L43" i="3" s="1"/>
  <c r="K43" i="3" s="1"/>
  <c r="G43" i="3" s="1"/>
  <c r="C44" i="3"/>
  <c r="L44" i="3" s="1"/>
  <c r="K44" i="3" s="1"/>
  <c r="G44" i="3" s="1"/>
  <c r="C45" i="3"/>
  <c r="L45" i="3" s="1"/>
  <c r="K45" i="3" s="1"/>
  <c r="G45" i="3" s="1"/>
  <c r="C46" i="3"/>
  <c r="L46" i="3" s="1"/>
  <c r="G46" i="3" s="1"/>
  <c r="C47" i="3"/>
  <c r="L47" i="3" s="1"/>
  <c r="G47" i="3" s="1"/>
  <c r="C48" i="3"/>
  <c r="L48" i="3" s="1"/>
  <c r="K48" i="3" s="1"/>
  <c r="G48" i="3" s="1"/>
  <c r="C49" i="3"/>
  <c r="L49" i="3" s="1"/>
  <c r="K49" i="3" s="1"/>
  <c r="G49" i="3" s="1"/>
  <c r="C50" i="3"/>
  <c r="L50" i="3" s="1"/>
  <c r="K50" i="3" s="1"/>
  <c r="G50" i="3" s="1"/>
  <c r="C51" i="3"/>
  <c r="L51" i="3" s="1"/>
  <c r="K51" i="3" s="1"/>
  <c r="G51" i="3" s="1"/>
  <c r="C52" i="3"/>
  <c r="L52" i="3" s="1"/>
  <c r="K52" i="3" s="1"/>
  <c r="G52" i="3" s="1"/>
  <c r="C53" i="3"/>
  <c r="L53" i="3" s="1"/>
  <c r="K53" i="3" s="1"/>
  <c r="G53" i="3" s="1"/>
  <c r="C36" i="3"/>
  <c r="L36" i="3" s="1"/>
  <c r="K36" i="3" s="1"/>
  <c r="G36" i="3" s="1"/>
  <c r="H47" i="3"/>
  <c r="H48" i="3"/>
  <c r="H49" i="3"/>
  <c r="H50" i="3"/>
  <c r="H51" i="3"/>
  <c r="H52" i="3"/>
  <c r="H53" i="3"/>
  <c r="K16" i="3" l="1"/>
  <c r="K17" i="3"/>
  <c r="K18" i="3"/>
  <c r="K19" i="3"/>
  <c r="K20" i="3"/>
  <c r="K21" i="3"/>
  <c r="K22" i="3"/>
  <c r="Q29" i="3"/>
  <c r="Q30" i="3"/>
  <c r="Q31" i="3"/>
  <c r="Q32" i="3"/>
  <c r="Q33" i="3"/>
  <c r="Q34" i="3"/>
  <c r="Q35" i="3"/>
  <c r="Q36" i="3"/>
  <c r="Q37" i="3"/>
  <c r="Q38" i="3"/>
  <c r="R38" i="3" s="1"/>
  <c r="Q39" i="3"/>
  <c r="Q40" i="3"/>
  <c r="R40" i="3" s="1"/>
  <c r="Q41" i="3"/>
  <c r="R41" i="3" s="1"/>
  <c r="Q42" i="3"/>
  <c r="Q43" i="3"/>
  <c r="R43" i="3" s="1"/>
  <c r="Q44" i="3"/>
  <c r="R44" i="3" s="1"/>
  <c r="Q45" i="3"/>
  <c r="Q28" i="3"/>
  <c r="K5" i="3"/>
  <c r="I9" i="3"/>
  <c r="I10" i="3"/>
  <c r="I11" i="3"/>
  <c r="I12" i="3"/>
  <c r="I13" i="3"/>
  <c r="I14" i="3"/>
  <c r="I16" i="3"/>
  <c r="L16" i="3" s="1"/>
  <c r="J16" i="3" s="1"/>
  <c r="I17" i="3"/>
  <c r="L17" i="3" s="1"/>
  <c r="J17" i="3" s="1"/>
  <c r="I18" i="3"/>
  <c r="L18" i="3" s="1"/>
  <c r="J18" i="3" s="1"/>
  <c r="I19" i="3"/>
  <c r="L19" i="3" s="1"/>
  <c r="J19" i="3" s="1"/>
  <c r="I20" i="3"/>
  <c r="L20" i="3" s="1"/>
  <c r="J20" i="3" s="1"/>
  <c r="I21" i="3"/>
  <c r="L21" i="3" s="1"/>
  <c r="J21" i="3" s="1"/>
  <c r="I22" i="3"/>
  <c r="L22" i="3" s="1"/>
  <c r="J22" i="3" s="1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" i="3"/>
  <c r="I4" i="3"/>
  <c r="I5" i="3"/>
  <c r="I6" i="3"/>
  <c r="I7" i="3"/>
  <c r="I8" i="3"/>
  <c r="I2" i="3"/>
  <c r="C19" i="13"/>
  <c r="C16" i="13"/>
  <c r="C9" i="13"/>
  <c r="C10" i="13"/>
  <c r="C11" i="13"/>
  <c r="C12" i="13"/>
  <c r="C13" i="13"/>
  <c r="C14" i="13"/>
  <c r="C15" i="13"/>
  <c r="C17" i="13"/>
  <c r="C18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2" i="13"/>
  <c r="H42" i="13"/>
  <c r="K42" i="13" s="1"/>
  <c r="H41" i="13"/>
  <c r="K41" i="13" s="1"/>
  <c r="H40" i="13"/>
  <c r="K40" i="13" s="1"/>
  <c r="H39" i="13"/>
  <c r="K39" i="13" s="1"/>
  <c r="H38" i="13"/>
  <c r="K38" i="13" s="1"/>
  <c r="H37" i="13"/>
  <c r="K37" i="13" s="1"/>
  <c r="H36" i="13"/>
  <c r="K36" i="13" s="1"/>
  <c r="H35" i="13"/>
  <c r="K35" i="13" s="1"/>
  <c r="H33" i="13"/>
  <c r="E33" i="13"/>
  <c r="H32" i="13"/>
  <c r="E32" i="13"/>
  <c r="H31" i="13"/>
  <c r="E31" i="13"/>
  <c r="H30" i="13"/>
  <c r="E30" i="13"/>
  <c r="H29" i="13"/>
  <c r="E29" i="13"/>
  <c r="E28" i="13"/>
  <c r="K27" i="13"/>
  <c r="E27" i="13"/>
  <c r="K26" i="13"/>
  <c r="E26" i="13"/>
  <c r="K25" i="13"/>
  <c r="E25" i="13"/>
  <c r="K24" i="13"/>
  <c r="E24" i="13"/>
  <c r="K23" i="13"/>
  <c r="E23" i="13"/>
  <c r="K22" i="13"/>
  <c r="E22" i="13"/>
  <c r="K21" i="13"/>
  <c r="E21" i="13"/>
  <c r="K20" i="13"/>
  <c r="E20" i="13"/>
  <c r="K19" i="13"/>
  <c r="E19" i="13"/>
  <c r="K18" i="13"/>
  <c r="E18" i="13"/>
  <c r="K17" i="13"/>
  <c r="E17" i="13"/>
  <c r="S16" i="13"/>
  <c r="R16" i="13"/>
  <c r="K16" i="13"/>
  <c r="E16" i="13"/>
  <c r="S15" i="13"/>
  <c r="R15" i="13"/>
  <c r="K15" i="13"/>
  <c r="E15" i="13"/>
  <c r="S14" i="13"/>
  <c r="R14" i="13"/>
  <c r="K14" i="13"/>
  <c r="E14" i="13"/>
  <c r="S13" i="13"/>
  <c r="R13" i="13"/>
  <c r="K13" i="13"/>
  <c r="E13" i="13"/>
  <c r="S12" i="13"/>
  <c r="R12" i="13"/>
  <c r="K12" i="13"/>
  <c r="E12" i="13"/>
  <c r="S11" i="13"/>
  <c r="R11" i="13"/>
  <c r="K11" i="13"/>
  <c r="E11" i="13"/>
  <c r="S10" i="13"/>
  <c r="R10" i="13"/>
  <c r="K10" i="13"/>
  <c r="E10" i="13"/>
  <c r="S9" i="13"/>
  <c r="R9" i="13"/>
  <c r="K9" i="13"/>
  <c r="E9" i="13"/>
  <c r="S8" i="13"/>
  <c r="R8" i="13"/>
  <c r="K8" i="13"/>
  <c r="E8" i="13"/>
  <c r="C8" i="13"/>
  <c r="S7" i="13"/>
  <c r="R7" i="13"/>
  <c r="K7" i="13"/>
  <c r="E7" i="13"/>
  <c r="C7" i="13"/>
  <c r="S6" i="13"/>
  <c r="R6" i="13"/>
  <c r="K6" i="13"/>
  <c r="E6" i="13"/>
  <c r="C6" i="13"/>
  <c r="S5" i="13"/>
  <c r="R5" i="13"/>
  <c r="K5" i="13"/>
  <c r="E5" i="13"/>
  <c r="C5" i="13"/>
  <c r="S4" i="13"/>
  <c r="R4" i="13"/>
  <c r="K4" i="13"/>
  <c r="E4" i="13"/>
  <c r="C4" i="13"/>
  <c r="S3" i="13"/>
  <c r="R3" i="13"/>
  <c r="K3" i="13"/>
  <c r="E3" i="13"/>
  <c r="C3" i="13"/>
  <c r="S2" i="13"/>
  <c r="R2" i="13"/>
  <c r="E2" i="13"/>
  <c r="K35" i="4"/>
  <c r="E35" i="4"/>
  <c r="C35" i="4"/>
  <c r="K34" i="4"/>
  <c r="E34" i="4"/>
  <c r="C34" i="4"/>
  <c r="K33" i="4"/>
  <c r="E33" i="4"/>
  <c r="C33" i="4"/>
  <c r="K32" i="4"/>
  <c r="E32" i="4"/>
  <c r="C32" i="4"/>
  <c r="K31" i="4"/>
  <c r="E31" i="4"/>
  <c r="C31" i="4"/>
  <c r="K30" i="4"/>
  <c r="E30" i="4"/>
  <c r="C30" i="4"/>
  <c r="K29" i="4"/>
  <c r="C29" i="4"/>
  <c r="K28" i="4"/>
  <c r="E28" i="4"/>
  <c r="C28" i="4"/>
  <c r="K27" i="4"/>
  <c r="E27" i="4"/>
  <c r="C27" i="4"/>
  <c r="K26" i="4"/>
  <c r="E26" i="4"/>
  <c r="C26" i="4"/>
  <c r="K25" i="4"/>
  <c r="E25" i="4"/>
  <c r="C25" i="4"/>
  <c r="K24" i="4"/>
  <c r="E24" i="4"/>
  <c r="C24" i="4"/>
  <c r="K23" i="4"/>
  <c r="E23" i="4"/>
  <c r="C23" i="4"/>
  <c r="K22" i="4"/>
  <c r="E22" i="4"/>
  <c r="C22" i="4"/>
  <c r="K21" i="4"/>
  <c r="E21" i="4"/>
  <c r="C21" i="4"/>
  <c r="K20" i="4"/>
  <c r="E20" i="4"/>
  <c r="C20" i="4"/>
  <c r="K19" i="4"/>
  <c r="E19" i="4"/>
  <c r="C19" i="4"/>
  <c r="K18" i="4"/>
  <c r="E18" i="4"/>
  <c r="C18" i="4"/>
  <c r="K17" i="4"/>
  <c r="E17" i="4"/>
  <c r="C17" i="4"/>
  <c r="K16" i="4"/>
  <c r="E16" i="4"/>
  <c r="C16" i="4"/>
  <c r="K15" i="4"/>
  <c r="E15" i="4"/>
  <c r="C15" i="4"/>
  <c r="K14" i="4"/>
  <c r="E14" i="4"/>
  <c r="C14" i="4"/>
  <c r="K13" i="4"/>
  <c r="E13" i="4"/>
  <c r="C13" i="4"/>
  <c r="K12" i="4"/>
  <c r="E12" i="4"/>
  <c r="C12" i="4"/>
  <c r="K11" i="4"/>
  <c r="E11" i="4"/>
  <c r="C11" i="4"/>
  <c r="K10" i="4"/>
  <c r="E10" i="4"/>
  <c r="C10" i="4"/>
  <c r="K9" i="4"/>
  <c r="E9" i="4"/>
  <c r="C9" i="4"/>
  <c r="K8" i="4"/>
  <c r="E8" i="4"/>
  <c r="C8" i="4"/>
  <c r="K7" i="4"/>
  <c r="E7" i="4"/>
  <c r="C7" i="4"/>
  <c r="K6" i="4"/>
  <c r="E6" i="4"/>
  <c r="C6" i="4"/>
  <c r="K5" i="4"/>
  <c r="E5" i="4"/>
  <c r="C5" i="4"/>
  <c r="K4" i="4"/>
  <c r="E4" i="4"/>
  <c r="C4" i="4"/>
  <c r="K3" i="4"/>
  <c r="E3" i="4"/>
  <c r="C3" i="4"/>
  <c r="E2" i="4"/>
  <c r="C2" i="4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14" i="3"/>
  <c r="K13" i="3"/>
  <c r="K12" i="3"/>
  <c r="K11" i="3"/>
  <c r="K10" i="3"/>
  <c r="K9" i="3"/>
  <c r="K8" i="3"/>
  <c r="K7" i="3"/>
  <c r="K6" i="3"/>
  <c r="K4" i="3"/>
  <c r="K3" i="3"/>
  <c r="K2" i="3"/>
  <c r="R45" i="3" l="1"/>
  <c r="R42" i="3"/>
  <c r="R39" i="3"/>
</calcChain>
</file>

<file path=xl/sharedStrings.xml><?xml version="1.0" encoding="utf-8"?>
<sst xmlns="http://schemas.openxmlformats.org/spreadsheetml/2006/main" count="306" uniqueCount="79">
  <si>
    <t>A</t>
  </si>
  <si>
    <t>V</t>
  </si>
  <si>
    <t>FECO</t>
  </si>
  <si>
    <t>sccm</t>
  </si>
  <si>
    <t>t</t>
  </si>
  <si>
    <t>J A/cm2</t>
  </si>
  <si>
    <t>cm2</t>
  </si>
  <si>
    <t>SPCE</t>
  </si>
  <si>
    <t>→</t>
  </si>
  <si>
    <t>FE</t>
  </si>
  <si>
    <t>JCO A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</si>
  <si>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</si>
  <si>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</si>
  <si>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</si>
  <si>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</si>
  <si>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</si>
  <si>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</si>
  <si>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</si>
  <si>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</si>
  <si>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</si>
  <si>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</si>
  <si>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</si>
  <si>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</si>
  <si>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</si>
  <si>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</si>
  <si>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</si>
  <si>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</si>
  <si>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</si>
  <si>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</si>
  <si>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</si>
  <si>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</si>
  <si>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</si>
  <si>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</si>
  <si>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</si>
  <si>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</si>
  <si>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</si>
  <si>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</si>
  <si>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</si>
  <si>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</si>
  <si>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</si>
  <si>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</si>
  <si>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</si>
  <si>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</si>
  <si>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</si>
  <si>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</si>
  <si>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obtain from paper</t>
  </si>
  <si>
    <t>i1</t>
  </si>
  <si>
    <t>i2</t>
  </si>
  <si>
    <t>i3</t>
  </si>
  <si>
    <t>n35</t>
  </si>
  <si>
    <t>n36</t>
  </si>
  <si>
    <t>n37</t>
  </si>
  <si>
    <t>n38</t>
  </si>
  <si>
    <t>n39</t>
  </si>
  <si>
    <t>n40</t>
  </si>
  <si>
    <t>n41</t>
  </si>
  <si>
    <t>j1</t>
  </si>
  <si>
    <t>25cm2</t>
  </si>
  <si>
    <t>T</t>
  </si>
  <si>
    <t>J mA/cm2</t>
  </si>
  <si>
    <t>JCO</t>
  </si>
  <si>
    <t>Unreact CO2</t>
  </si>
  <si>
    <t>v sccm</t>
  </si>
  <si>
    <t>U V</t>
  </si>
  <si>
    <t>Jco mA/cm2</t>
  </si>
  <si>
    <t>SPCE %</t>
  </si>
  <si>
    <t>T C</t>
  </si>
  <si>
    <t xml:space="preserve">U V </t>
  </si>
  <si>
    <t>unreacted</t>
  </si>
  <si>
    <t>react</t>
  </si>
  <si>
    <t>nCO</t>
  </si>
  <si>
    <t>nCo2 in mol/s</t>
  </si>
  <si>
    <t>U</t>
  </si>
  <si>
    <t>to carbonate</t>
  </si>
  <si>
    <t>tao</t>
  </si>
  <si>
    <t>J A/m2</t>
  </si>
  <si>
    <t>ml/min</t>
  </si>
  <si>
    <t>to CO</t>
  </si>
  <si>
    <t>FE2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</si>
</sst>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 "/>
  </numFmts>
  <fonts count="5">
    <font>
      <sz val="11"/>
      <color theme="1"/>
      <name val="Calibri"/>
      <charset val="134"/>
      <scheme val="minor"/>
    </font>
    <font>
      <sz val="11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164" fontId="0" fillId="2" borderId="0" xfId="0" applyNumberFormat="1" applyFill="1">
      <alignment vertical="center"/>
    </xf>
    <xf numFmtId="164" fontId="0" fillId="0" borderId="0" xfId="0" applyNumberFormat="1">
      <alignment vertical="center"/>
    </xf>
    <xf numFmtId="164" fontId="1" fillId="2" borderId="0" xfId="0" applyNumberFormat="1" applyFont="1" applyFill="1">
      <alignment vertical="center"/>
    </xf>
    <xf numFmtId="164" fontId="0" fillId="3" borderId="0" xfId="0" applyNumberFormat="1" applyFill="1" applyAlignment="1">
      <alignment horizontal="center" vertical="center"/>
    </xf>
    <xf numFmtId="164" fontId="0" fillId="4" borderId="0" xfId="0" applyNumberFormat="1" applyFill="1">
      <alignment vertical="center"/>
    </xf>
    <xf numFmtId="164" fontId="0" fillId="0" borderId="0" xfId="0" applyNumberForma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164" fontId="2" fillId="5" borderId="0" xfId="0" applyNumberFormat="1" applyFont="1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164" fontId="0" fillId="3" borderId="0" xfId="0" applyNumberFormat="1" applyFill="1">
      <alignment vertical="center"/>
    </xf>
    <xf numFmtId="164" fontId="1" fillId="6" borderId="0" xfId="0" applyNumberFormat="1" applyFont="1" applyFill="1" applyAlignment="1">
      <alignment vertical="center" wrapText="1"/>
    </xf>
    <xf numFmtId="164" fontId="0" fillId="5" borderId="0" xfId="0" applyNumberFormat="1" applyFill="1">
      <alignment vertical="center"/>
    </xf>
    <xf numFmtId="164" fontId="0" fillId="7" borderId="0" xfId="0" applyNumberFormat="1" applyFill="1" applyAlignment="1">
      <alignment vertical="center" wrapText="1"/>
    </xf>
    <xf numFmtId="164" fontId="0" fillId="8" borderId="0" xfId="0" applyNumberFormat="1" applyFill="1">
      <alignment vertical="center"/>
    </xf>
    <xf numFmtId="164" fontId="0" fillId="8" borderId="0" xfId="0" applyNumberFormat="1" applyFill="1" applyAlignment="1">
      <alignment vertical="center" wrapText="1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9" borderId="0" xfId="0" applyFill="1">
      <alignment vertical="center"/>
    </xf>
    <xf numFmtId="0" fontId="0" fillId="9" borderId="0" xfId="0" applyFill="1" applyAlignment="1">
      <alignment horizontal="center" vertical="center" wrapText="1"/>
    </xf>
    <xf numFmtId="0" fontId="0" fillId="3" borderId="0" xfId="0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164" fontId="0" fillId="3" borderId="0" xfId="0" applyNumberForma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164" fontId="0" fillId="11" borderId="0" xfId="0" applyNumberFormat="1" applyFill="1" applyAlignment="1">
      <alignment vertical="center" wrapText="1"/>
    </xf>
    <xf numFmtId="0" fontId="0" fillId="10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12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0" fillId="13" borderId="0" xfId="0" applyFill="1" applyAlignment="1"/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4" fontId="0" fillId="10" borderId="0" xfId="0" applyNumberFormat="1" applyFill="1">
      <alignment vertical="center"/>
    </xf>
    <xf numFmtId="0" fontId="0" fillId="10" borderId="0" xfId="0" applyFill="1" applyAlignment="1">
      <alignment vertical="center" wrapText="1"/>
    </xf>
    <xf numFmtId="0" fontId="0" fillId="15" borderId="0" xfId="0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17" borderId="0" xfId="0" applyFill="1">
      <alignment vertical="center"/>
    </xf>
    <xf numFmtId="0" fontId="4" fillId="15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2.5428331875182269E-2"/>
          <c:w val="0.89022462817147852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Jiao_ORIGIN_DATA!$X$54:$X$61</c:f>
              <c:numCache>
                <c:formatCode>General</c:formatCode>
                <c:ptCount val="8"/>
                <c:pt idx="0">
                  <c:v>2.46681859617137</c:v>
                </c:pt>
                <c:pt idx="1">
                  <c:v>2.5488605287146702</c:v>
                </c:pt>
                <c:pt idx="2">
                  <c:v>2.6979033728349999</c:v>
                </c:pt>
                <c:pt idx="3">
                  <c:v>2.8496809480401</c:v>
                </c:pt>
                <c:pt idx="4">
                  <c:v>3.0288058340929802</c:v>
                </c:pt>
                <c:pt idx="5">
                  <c:v>3.1901549680948</c:v>
                </c:pt>
                <c:pt idx="6">
                  <c:v>3.377484047402</c:v>
                </c:pt>
                <c:pt idx="7">
                  <c:v>3.6099361896080202</c:v>
                </c:pt>
              </c:numCache>
            </c:numRef>
          </c:xVal>
          <c:yVal>
            <c:numRef>
              <c:f>Jiao_ORIGIN_DATA!$AB$54:$AB$61</c:f>
              <c:numCache>
                <c:formatCode>General</c:formatCode>
                <c:ptCount val="8"/>
                <c:pt idx="0">
                  <c:v>0.46022607874792881</c:v>
                </c:pt>
                <c:pt idx="1">
                  <c:v>0.47050435648765471</c:v>
                </c:pt>
                <c:pt idx="2">
                  <c:v>0.43017840651003841</c:v>
                </c:pt>
                <c:pt idx="3">
                  <c:v>0.47085165743210972</c:v>
                </c:pt>
                <c:pt idx="4">
                  <c:v>0.48538627487312069</c:v>
                </c:pt>
                <c:pt idx="5">
                  <c:v>0.43994206383966855</c:v>
                </c:pt>
                <c:pt idx="6">
                  <c:v>0.41523835629833089</c:v>
                </c:pt>
                <c:pt idx="7">
                  <c:v>0.3542526324473298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1-4489-B561-16507BE3D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466639"/>
        <c:axId val="1475465199"/>
      </c:scatterChart>
      <c:valAx>
        <c:axId val="147546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65199"/>
        <c:crosses val="autoZero"/>
        <c:crossBetween val="midCat"/>
      </c:valAx>
      <c:valAx>
        <c:axId val="14754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6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Jiao_ORIGIN_DATA!$G$15:$G$22</c:f>
              <c:numCache>
                <c:formatCode>General</c:formatCode>
                <c:ptCount val="8"/>
                <c:pt idx="0">
                  <c:v>2.47213822894168</c:v>
                </c:pt>
                <c:pt idx="1">
                  <c:v>2.5498920086393002</c:v>
                </c:pt>
                <c:pt idx="2">
                  <c:v>2.70539956803455</c:v>
                </c:pt>
                <c:pt idx="3">
                  <c:v>2.8570194384449201</c:v>
                </c:pt>
                <c:pt idx="4">
                  <c:v>3.0319654427645699</c:v>
                </c:pt>
                <c:pt idx="5">
                  <c:v>3.1952483801295801</c:v>
                </c:pt>
                <c:pt idx="6">
                  <c:v>3.3838012958963199</c:v>
                </c:pt>
                <c:pt idx="7">
                  <c:v>3.6112311015118701</c:v>
                </c:pt>
              </c:numCache>
            </c:numRef>
          </c:xVal>
          <c:yVal>
            <c:numRef>
              <c:f>Jiao_ORIGIN_DATA!$J$15:$J$22</c:f>
              <c:numCache>
                <c:formatCode>General</c:formatCode>
                <c:ptCount val="8"/>
                <c:pt idx="0">
                  <c:v>0.35492488114449505</c:v>
                </c:pt>
                <c:pt idx="1">
                  <c:v>0.61265911558380337</c:v>
                </c:pt>
                <c:pt idx="2">
                  <c:v>0.8988243910211684</c:v>
                </c:pt>
                <c:pt idx="3">
                  <c:v>0.88910197477391817</c:v>
                </c:pt>
                <c:pt idx="4">
                  <c:v>0.84755987715537517</c:v>
                </c:pt>
                <c:pt idx="5">
                  <c:v>0.76461075742168561</c:v>
                </c:pt>
                <c:pt idx="6">
                  <c:v>0.7038063000826138</c:v>
                </c:pt>
                <c:pt idx="7">
                  <c:v>0.5105044102870262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4E-43E1-947D-719C1925D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032639"/>
        <c:axId val="1370033119"/>
      </c:scatterChart>
      <c:valAx>
        <c:axId val="137003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033119"/>
        <c:crosses val="autoZero"/>
        <c:crossBetween val="midCat"/>
      </c:valAx>
      <c:valAx>
        <c:axId val="137003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03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16907261592301"/>
          <c:y val="5.1400554097404488E-2"/>
          <c:w val="0.61757392825896762"/>
          <c:h val="0.7900036453776611"/>
        </c:manualLayout>
      </c:layout>
      <c:scatterChart>
        <c:scatterStyle val="smoothMarker"/>
        <c:varyColors val="0"/>
        <c:ser>
          <c:idx val="0"/>
          <c:order val="0"/>
          <c:tx>
            <c:v>160 sccm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new!$F$2:$F$5</c:f>
              <c:numCache>
                <c:formatCode>0.0000_ </c:formatCode>
                <c:ptCount val="4"/>
                <c:pt idx="0">
                  <c:v>2.38493150684931</c:v>
                </c:pt>
                <c:pt idx="1">
                  <c:v>2.6684931506849301</c:v>
                </c:pt>
                <c:pt idx="2">
                  <c:v>2.95821917808219</c:v>
                </c:pt>
                <c:pt idx="3">
                  <c:v>3.1678082191780801</c:v>
                </c:pt>
              </c:numCache>
            </c:numRef>
          </c:xVal>
          <c:yVal>
            <c:numRef>
              <c:f>new!$I$2:$I$5</c:f>
              <c:numCache>
                <c:formatCode>0.0000_ </c:formatCode>
                <c:ptCount val="4"/>
                <c:pt idx="0">
                  <c:v>0.64947850813847896</c:v>
                </c:pt>
                <c:pt idx="1">
                  <c:v>3.1471088477870102</c:v>
                </c:pt>
                <c:pt idx="2">
                  <c:v>6.3945680221623604</c:v>
                </c:pt>
                <c:pt idx="3">
                  <c:v>16.54031254529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A6-4651-BFAB-474D996C3194}"/>
            </c:ext>
          </c:extLst>
        </c:ser>
        <c:ser>
          <c:idx val="1"/>
          <c:order val="1"/>
          <c:tx>
            <c:v>120 sccm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new!$F$6:$F$9</c:f>
              <c:numCache>
                <c:formatCode>0.0000_ </c:formatCode>
                <c:ptCount val="4"/>
                <c:pt idx="0">
                  <c:v>2.3910958904109498</c:v>
                </c:pt>
                <c:pt idx="1">
                  <c:v>2.6808219178082102</c:v>
                </c:pt>
                <c:pt idx="2">
                  <c:v>2.95821917808219</c:v>
                </c:pt>
                <c:pt idx="3">
                  <c:v>3.2084931506849301</c:v>
                </c:pt>
              </c:numCache>
            </c:numRef>
          </c:xVal>
          <c:yVal>
            <c:numRef>
              <c:f>new!$I$6:$I$9</c:f>
              <c:numCache>
                <c:formatCode>0.0000_ </c:formatCode>
                <c:ptCount val="4"/>
                <c:pt idx="0">
                  <c:v>0.79850474015363204</c:v>
                </c:pt>
                <c:pt idx="1">
                  <c:v>3.2952688419232401</c:v>
                </c:pt>
                <c:pt idx="2">
                  <c:v>10.735385983937899</c:v>
                </c:pt>
                <c:pt idx="3">
                  <c:v>21.775521117046999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A6-4651-BFAB-474D996C3194}"/>
            </c:ext>
          </c:extLst>
        </c:ser>
        <c:ser>
          <c:idx val="2"/>
          <c:order val="2"/>
          <c:tx>
            <c:v>80 sccm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new!$F$10:$F$15</c:f>
              <c:numCache>
                <c:formatCode>0.0000_ </c:formatCode>
                <c:ptCount val="6"/>
                <c:pt idx="0">
                  <c:v>2.46876712328767</c:v>
                </c:pt>
                <c:pt idx="1">
                  <c:v>2.5501369863013599</c:v>
                </c:pt>
                <c:pt idx="2">
                  <c:v>2.69808219178082</c:v>
                </c:pt>
                <c:pt idx="3">
                  <c:v>2.8521917808219102</c:v>
                </c:pt>
                <c:pt idx="4">
                  <c:v>3.0321917808219099</c:v>
                </c:pt>
                <c:pt idx="5">
                  <c:v>3.18753424657534</c:v>
                </c:pt>
              </c:numCache>
            </c:numRef>
          </c:xVal>
          <c:yVal>
            <c:numRef>
              <c:f>new!$I$10:$I$15</c:f>
              <c:numCache>
                <c:formatCode>0.0000_ </c:formatCode>
                <c:ptCount val="6"/>
                <c:pt idx="0">
                  <c:v>0.94839721004769395</c:v>
                </c:pt>
                <c:pt idx="1">
                  <c:v>1.79717706401998</c:v>
                </c:pt>
                <c:pt idx="2">
                  <c:v>4.09314056208843</c:v>
                </c:pt>
                <c:pt idx="3">
                  <c:v>7.73697019975112</c:v>
                </c:pt>
                <c:pt idx="4">
                  <c:v>14.6260934170918</c:v>
                </c:pt>
                <c:pt idx="5">
                  <c:v>19.619721571155601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A6-4651-BFAB-474D996C3194}"/>
            </c:ext>
          </c:extLst>
        </c:ser>
        <c:ser>
          <c:idx val="3"/>
          <c:order val="3"/>
          <c:tx>
            <c:v>30 sccm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new!$F$16:$F$22</c:f>
              <c:numCache>
                <c:formatCode>0.0000_ </c:formatCode>
                <c:ptCount val="7"/>
                <c:pt idx="0">
                  <c:v>2.28136986301369</c:v>
                </c:pt>
                <c:pt idx="1">
                  <c:v>2.4564383561643801</c:v>
                </c:pt>
                <c:pt idx="2">
                  <c:v>2.5587671232876699</c:v>
                </c:pt>
                <c:pt idx="3">
                  <c:v>2.7067123287671202</c:v>
                </c:pt>
                <c:pt idx="4">
                  <c:v>2.8558904109588998</c:v>
                </c:pt>
                <c:pt idx="5">
                  <c:v>3.08643835616438</c:v>
                </c:pt>
                <c:pt idx="6">
                  <c:v>3.2171232876712299</c:v>
                </c:pt>
              </c:numCache>
            </c:numRef>
          </c:xVal>
          <c:yVal>
            <c:numRef>
              <c:f>new!$I$16:$I$22</c:f>
              <c:numCache>
                <c:formatCode>0.0000_ </c:formatCode>
                <c:ptCount val="7"/>
                <c:pt idx="0">
                  <c:v>0.69858753250474503</c:v>
                </c:pt>
                <c:pt idx="1">
                  <c:v>3.2927367619694898</c:v>
                </c:pt>
                <c:pt idx="2">
                  <c:v>5.7375265910041202</c:v>
                </c:pt>
                <c:pt idx="3">
                  <c:v>11.8741556262983</c:v>
                </c:pt>
                <c:pt idx="4">
                  <c:v>22.301494093756901</c:v>
                </c:pt>
                <c:pt idx="5">
                  <c:v>37.121791379933597</c:v>
                </c:pt>
                <c:pt idx="6">
                  <c:v>39.118736225568298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A6-4651-BFAB-474D996C3194}"/>
            </c:ext>
          </c:extLst>
        </c:ser>
        <c:ser>
          <c:idx val="4"/>
          <c:order val="4"/>
          <c:tx>
            <c:v>15 sccm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new!$F$23:$F$27</c:f>
              <c:numCache>
                <c:formatCode>0.0000_ </c:formatCode>
                <c:ptCount val="5"/>
                <c:pt idx="0">
                  <c:v>2.3910958904109498</c:v>
                </c:pt>
                <c:pt idx="1">
                  <c:v>2.6771232876712299</c:v>
                </c:pt>
                <c:pt idx="2">
                  <c:v>2.8275342465753401</c:v>
                </c:pt>
                <c:pt idx="3">
                  <c:v>2.9705479452054702</c:v>
                </c:pt>
                <c:pt idx="4">
                  <c:v>3.14684931506849</c:v>
                </c:pt>
              </c:numCache>
            </c:numRef>
          </c:xVal>
          <c:yVal>
            <c:numRef>
              <c:f>new!$I$23:$I$27</c:f>
              <c:numCache>
                <c:formatCode>0.0000_ </c:formatCode>
                <c:ptCount val="5"/>
                <c:pt idx="0">
                  <c:v>2.7442082835663002</c:v>
                </c:pt>
                <c:pt idx="1">
                  <c:v>17.509832632846699</c:v>
                </c:pt>
                <c:pt idx="2">
                  <c:v>33.970884412215902</c:v>
                </c:pt>
                <c:pt idx="3">
                  <c:v>43.250257789061003</c:v>
                </c:pt>
                <c:pt idx="4">
                  <c:v>42.4082412539126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A6-4651-BFAB-474D996C3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655919"/>
        <c:axId val="603661199"/>
      </c:scatterChart>
      <c:valAx>
        <c:axId val="603655919"/>
        <c:scaling>
          <c:orientation val="minMax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altLang="zh-C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61199"/>
        <c:crosses val="autoZero"/>
        <c:crossBetween val="midCat"/>
      </c:valAx>
      <c:valAx>
        <c:axId val="6036611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SPCE ()%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31369568387284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55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altLang="zh-CN" sz="1000" b="0" i="0" u="none" strike="noStrike" kern="1200" baseline="0">
          <a:solidFill>
            <a:sysClr val="windowText" lastClr="000000">
              <a:lumMod val="65000"/>
              <a:lumOff val="35000"/>
            </a:sys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new!$F$2:$F$5</c:f>
              <c:numCache>
                <c:formatCode>0.0000_ </c:formatCode>
                <c:ptCount val="4"/>
                <c:pt idx="0">
                  <c:v>2.38493150684931</c:v>
                </c:pt>
                <c:pt idx="1">
                  <c:v>2.6684931506849301</c:v>
                </c:pt>
                <c:pt idx="2">
                  <c:v>2.95821917808219</c:v>
                </c:pt>
                <c:pt idx="3">
                  <c:v>3.1678082191780801</c:v>
                </c:pt>
              </c:numCache>
            </c:numRef>
          </c:xVal>
          <c:yVal>
            <c:numRef>
              <c:f>new!$H$2:$H$5</c:f>
              <c:numCache>
                <c:formatCode>0.0000_ </c:formatCode>
                <c:ptCount val="4"/>
                <c:pt idx="0">
                  <c:v>6.6132264529058098</c:v>
                </c:pt>
                <c:pt idx="1">
                  <c:v>29.859719438877701</c:v>
                </c:pt>
                <c:pt idx="2">
                  <c:v>63.326653306613203</c:v>
                </c:pt>
                <c:pt idx="3">
                  <c:v>189.97995991983899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36-480D-AC70-B1B5CF3F2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795631"/>
        <c:axId val="417810511"/>
      </c:scatterChart>
      <c:valAx>
        <c:axId val="41779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810511"/>
        <c:crosses val="autoZero"/>
        <c:crossBetween val="midCat"/>
      </c:valAx>
      <c:valAx>
        <c:axId val="4178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79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new!$F$28:$F$33</c:f>
              <c:numCache>
                <c:formatCode>0.0000_ </c:formatCode>
                <c:ptCount val="6"/>
                <c:pt idx="0">
                  <c:v>2.46702940944667</c:v>
                </c:pt>
                <c:pt idx="1">
                  <c:v>2.5500803288328902</c:v>
                </c:pt>
                <c:pt idx="2">
                  <c:v>2.6934445609801898</c:v>
                </c:pt>
                <c:pt idx="3">
                  <c:v>2.8496462500075701</c:v>
                </c:pt>
                <c:pt idx="4">
                  <c:v>3.0282945430956598</c:v>
                </c:pt>
                <c:pt idx="5">
                  <c:v>3.1887309256912801</c:v>
                </c:pt>
              </c:numCache>
            </c:numRef>
          </c:xVal>
          <c:yVal>
            <c:numRef>
              <c:f>new!$K$28:$K$33</c:f>
              <c:numCache>
                <c:formatCode>0.0000_ </c:formatCode>
                <c:ptCount val="6"/>
                <c:pt idx="0">
                  <c:v>64.042460128640897</c:v>
                </c:pt>
                <c:pt idx="1">
                  <c:v>72.202214107961296</c:v>
                </c:pt>
                <c:pt idx="2">
                  <c:v>83.417984261853803</c:v>
                </c:pt>
                <c:pt idx="3">
                  <c:v>87.533420874816798</c:v>
                </c:pt>
                <c:pt idx="4">
                  <c:v>84.289941563696203</c:v>
                </c:pt>
                <c:pt idx="5">
                  <c:v>76.112824887145607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B0-4A49-A51B-F383E01C8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863567"/>
        <c:axId val="1678835247"/>
      </c:scatterChart>
      <c:valAx>
        <c:axId val="167886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835247"/>
        <c:crosses val="autoZero"/>
        <c:crossBetween val="midCat"/>
      </c:valAx>
      <c:valAx>
        <c:axId val="167883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86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new!$F$34:$F$38</c:f>
              <c:numCache>
                <c:formatCode>0.0000_ </c:formatCode>
                <c:ptCount val="5"/>
                <c:pt idx="0">
                  <c:v>2.3785282545302402</c:v>
                </c:pt>
                <c:pt idx="1">
                  <c:v>2.6574329936282499</c:v>
                </c:pt>
                <c:pt idx="2">
                  <c:v>2.8849666862689198</c:v>
                </c:pt>
                <c:pt idx="3">
                  <c:v>3.1685183725681498</c:v>
                </c:pt>
                <c:pt idx="4">
                  <c:v>3.3540961642224398</c:v>
                </c:pt>
              </c:numCache>
            </c:numRef>
          </c:xVal>
          <c:yVal>
            <c:numRef>
              <c:f>new!$K$34:$K$38</c:f>
              <c:numCache>
                <c:formatCode>0.0000_ </c:formatCode>
                <c:ptCount val="5"/>
                <c:pt idx="0">
                  <c:v>70.666729306386216</c:v>
                </c:pt>
                <c:pt idx="1">
                  <c:v>82.380955344654666</c:v>
                </c:pt>
                <c:pt idx="2">
                  <c:v>90.907886475493854</c:v>
                </c:pt>
                <c:pt idx="3">
                  <c:v>86.32905365810366</c:v>
                </c:pt>
                <c:pt idx="4">
                  <c:v>78.892212941591552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E7-467D-922B-6B06DB15B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878447"/>
        <c:axId val="1678885167"/>
      </c:scatterChart>
      <c:valAx>
        <c:axId val="167887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885167"/>
        <c:crosses val="autoZero"/>
        <c:crossBetween val="midCat"/>
      </c:valAx>
      <c:valAx>
        <c:axId val="167888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87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new!$F$39:$F$42</c:f>
              <c:numCache>
                <c:formatCode>0.0000_ </c:formatCode>
                <c:ptCount val="4"/>
                <c:pt idx="0">
                  <c:v>2.3795679824428402</c:v>
                </c:pt>
                <c:pt idx="1">
                  <c:v>2.6465022098007198</c:v>
                </c:pt>
                <c:pt idx="2">
                  <c:v>2.8684795722262302</c:v>
                </c:pt>
                <c:pt idx="3">
                  <c:v>3.07609777686165</c:v>
                </c:pt>
              </c:numCache>
            </c:numRef>
          </c:xVal>
          <c:yVal>
            <c:numRef>
              <c:f>new!$K$39:$K$42</c:f>
              <c:numCache>
                <c:formatCode>0.0000_ </c:formatCode>
                <c:ptCount val="4"/>
                <c:pt idx="0">
                  <c:v>67.6586466083603</c:v>
                </c:pt>
                <c:pt idx="1">
                  <c:v>92.386603800462481</c:v>
                </c:pt>
                <c:pt idx="2">
                  <c:v>89.436665759910071</c:v>
                </c:pt>
                <c:pt idx="3">
                  <c:v>86.655968707190283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6-43B7-9221-2C0BCCBF3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791087"/>
        <c:axId val="1678777167"/>
      </c:scatterChart>
      <c:valAx>
        <c:axId val="167879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777167"/>
        <c:crosses val="autoZero"/>
        <c:crossBetween val="midCat"/>
      </c:valAx>
      <c:valAx>
        <c:axId val="167877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79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6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image" Target="../media/image4.png"/><Relationship Id="rId10" Type="http://schemas.openxmlformats.org/officeDocument/2006/relationships/chart" Target="../charts/chart2.xml"/><Relationship Id="rId4" Type="http://schemas.openxmlformats.org/officeDocument/2006/relationships/image" Target="../media/image7.png"/><Relationship Id="rId9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171849</xdr:colOff>
      <xdr:row>4</xdr:row>
      <xdr:rowOff>29359</xdr:rowOff>
    </xdr:from>
    <xdr:to>
      <xdr:col>20</xdr:col>
      <xdr:colOff>369794</xdr:colOff>
      <xdr:row>22</xdr:row>
      <xdr:rowOff>177613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C21E37-DF9C-CE82-30C0-D03414EC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6643" y="791359"/>
          <a:ext cx="3963122" cy="3577254"/>
        </a:xfrm>
        <a:prstGeom prst="rect">
          <a:avLst/>
        </a:prstGeom>
      </xdr:spPr>
    </xdr:pic>
    <xdr:clientData/>
  </xdr:twoCellAnchor>
  <xdr:twoCellAnchor editAs="oneCell">
    <xdr:from>
      <xdr:col>21</xdr:col>
      <xdr:colOff>211230</xdr:colOff>
      <xdr:row>24</xdr:row>
      <xdr:rowOff>76759</xdr:rowOff>
    </xdr:from>
    <xdr:to>
      <xdr:col>28</xdr:col>
      <xdr:colOff>214601</xdr:colOff>
      <xdr:row>44</xdr:row>
      <xdr:rowOff>164724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38413F-B821-421F-8BBD-5180881D4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6318" y="4648759"/>
          <a:ext cx="4239195" cy="3897965"/>
        </a:xfrm>
        <a:prstGeom prst="rect">
          <a:avLst/>
        </a:prstGeom>
      </xdr:spPr>
    </xdr:pic>
    <xdr:clientData/>
  </xdr:twoCellAnchor>
  <xdr:twoCellAnchor editAs="oneCell">
    <xdr:from>
      <xdr:col>20</xdr:col>
      <xdr:colOff>441790</xdr:colOff>
      <xdr:row>3</xdr:row>
      <xdr:rowOff>137700</xdr:rowOff>
    </xdr:from>
    <xdr:to>
      <xdr:col>27</xdr:col>
      <xdr:colOff>545489</xdr:colOff>
      <xdr:row>23</xdr:row>
      <xdr:rowOff>66676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A27A78-DBEB-4F6F-A778-2A56DE0D3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65790" y="697994"/>
          <a:ext cx="4496405" cy="3664270"/>
        </a:xfrm>
        <a:prstGeom prst="rect">
          <a:avLst/>
        </a:prstGeom>
      </xdr:spPr>
    </xdr:pic>
    <xdr:clientData/>
  </xdr:twoCellAnchor>
  <xdr:twoCellAnchor editAs="oneCell">
    <xdr:from>
      <xdr:col>13</xdr:col>
      <xdr:colOff>464205</xdr:colOff>
      <xdr:row>23</xdr:row>
      <xdr:rowOff>27175</xdr:rowOff>
    </xdr:from>
    <xdr:to>
      <xdr:col>21</xdr:col>
      <xdr:colOff>55724</xdr:colOff>
      <xdr:row>44</xdr:row>
      <xdr:rowOff>52011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D35D2F-350E-48F2-AD8A-0F574384F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53881" y="4408675"/>
          <a:ext cx="4566931" cy="40253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303119</xdr:colOff>
      <xdr:row>15</xdr:row>
      <xdr:rowOff>109819</xdr:rowOff>
    </xdr:from>
    <xdr:to>
      <xdr:col>5</xdr:col>
      <xdr:colOff>107576</xdr:colOff>
      <xdr:row>28</xdr:row>
      <xdr:rowOff>90769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469CF-32EA-BB6C-E87F-1644E3D42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119" y="2967319"/>
          <a:ext cx="2830045" cy="2457450"/>
        </a:xfrm>
        <a:prstGeom prst="rect">
          <a:avLst/>
        </a:prstGeom>
      </xdr:spPr>
    </xdr:pic>
    <xdr:clientData/>
  </xdr:twoCellAnchor>
  <xdr:twoCellAnchor editAs="oneCell">
    <xdr:from>
      <xdr:col>4</xdr:col>
      <xdr:colOff>454121</xdr:colOff>
      <xdr:row>14</xdr:row>
      <xdr:rowOff>112058</xdr:rowOff>
    </xdr:from>
    <xdr:to>
      <xdr:col>13</xdr:col>
      <xdr:colOff>470646</xdr:colOff>
      <xdr:row>37</xdr:row>
      <xdr:rowOff>101196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EA4D71-C9EF-044B-5889-88976CCA5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4592" y="2779058"/>
          <a:ext cx="5462583" cy="4370638"/>
        </a:xfrm>
        <a:prstGeom prst="rect">
          <a:avLst/>
        </a:prstGeom>
      </xdr:spPr>
    </xdr:pic>
    <xdr:clientData/>
  </xdr:twoCellAnchor>
  <xdr:twoCellAnchor editAs="oneCell">
    <xdr:from>
      <xdr:col>10</xdr:col>
      <xdr:colOff>302559</xdr:colOff>
      <xdr:row>37</xdr:row>
      <xdr:rowOff>0</xdr:rowOff>
    </xdr:from>
    <xdr:to>
      <xdr:col>14</xdr:col>
      <xdr:colOff>607552</xdr:colOff>
      <xdr:row>39</xdr:row>
      <xdr:rowOff>93792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04BA69-8338-F8FB-7C47-B0F50F873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1971" y="6633882"/>
          <a:ext cx="2942857" cy="452381"/>
        </a:xfrm>
        <a:prstGeom prst="rect">
          <a:avLst/>
        </a:prstGeom>
      </xdr:spPr>
    </xdr:pic>
    <xdr:clientData/>
  </xdr:twoCellAnchor>
  <xdr:twoCellAnchor editAs="oneCell">
    <xdr:from>
      <xdr:col>15</xdr:col>
      <xdr:colOff>589709</xdr:colOff>
      <xdr:row>3</xdr:row>
      <xdr:rowOff>89366</xdr:rowOff>
    </xdr:from>
    <xdr:to>
      <xdr:col>20</xdr:col>
      <xdr:colOff>568444</xdr:colOff>
      <xdr:row>17</xdr:row>
      <xdr:rowOff>65272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468A7E-18DC-7A12-F181-92FDFB39D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66474" y="660866"/>
          <a:ext cx="3004323" cy="2642906"/>
        </a:xfrm>
        <a:prstGeom prst="rect">
          <a:avLst/>
        </a:prstGeom>
      </xdr:spPr>
    </xdr:pic>
    <xdr:clientData/>
  </xdr:twoCellAnchor>
  <xdr:twoCellAnchor editAs="oneCell">
    <xdr:from>
      <xdr:col>13</xdr:col>
      <xdr:colOff>553850</xdr:colOff>
      <xdr:row>16</xdr:row>
      <xdr:rowOff>78442</xdr:rowOff>
    </xdr:from>
    <xdr:to>
      <xdr:col>21</xdr:col>
      <xdr:colOff>157838</xdr:colOff>
      <xdr:row>37</xdr:row>
      <xdr:rowOff>86189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61506D-CB1B-EB38-BE5C-0E333D8D3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20379" y="3126442"/>
          <a:ext cx="4624224" cy="4008247"/>
        </a:xfrm>
        <a:prstGeom prst="rect">
          <a:avLst/>
        </a:prstGeom>
      </xdr:spPr>
    </xdr:pic>
    <xdr:clientData/>
  </xdr:twoCellAnchor>
  <xdr:twoCellAnchor editAs="oneCell">
    <xdr:from>
      <xdr:col>32</xdr:col>
      <xdr:colOff>53548</xdr:colOff>
      <xdr:row>2</xdr:row>
      <xdr:rowOff>138432</xdr:rowOff>
    </xdr:from>
    <xdr:to>
      <xdr:col>37</xdr:col>
      <xdr:colOff>435614</xdr:colOff>
      <xdr:row>18</xdr:row>
      <xdr:rowOff>181652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45DFE9-BA7F-436C-A29F-3EF34DB70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812195" y="519432"/>
          <a:ext cx="3407654" cy="3091220"/>
        </a:xfrm>
        <a:prstGeom prst="rect">
          <a:avLst/>
        </a:prstGeom>
      </xdr:spPr>
    </xdr:pic>
    <xdr:clientData/>
  </xdr:twoCellAnchor>
  <xdr:twoCellAnchor editAs="oneCell">
    <xdr:from>
      <xdr:col>27</xdr:col>
      <xdr:colOff>76397</xdr:colOff>
      <xdr:row>22</xdr:row>
      <xdr:rowOff>174249</xdr:rowOff>
    </xdr:from>
    <xdr:to>
      <xdr:col>32</xdr:col>
      <xdr:colOff>193836</xdr:colOff>
      <xdr:row>39</xdr:row>
      <xdr:rowOff>1082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39D4DB-54A2-1119-32E0-4902BC0EB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593868" y="4365249"/>
          <a:ext cx="3445586" cy="306533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37</xdr:row>
      <xdr:rowOff>66675</xdr:rowOff>
    </xdr:from>
    <xdr:to>
      <xdr:col>7</xdr:col>
      <xdr:colOff>9069</xdr:colOff>
      <xdr:row>52</xdr:row>
      <xdr:rowOff>142508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4F05C5E-9630-A4FB-EACF-8838362E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8650" y="7115175"/>
          <a:ext cx="3647619" cy="2933333"/>
        </a:xfrm>
        <a:prstGeom prst="rect">
          <a:avLst/>
        </a:prstGeom>
      </xdr:spPr>
    </xdr:pic>
    <xdr:clientData/>
  </xdr:twoCellAnchor>
  <xdr:twoCellAnchor>
    <xdr:from>
      <xdr:col>13</xdr:col>
      <xdr:colOff>319369</xdr:colOff>
      <xdr:row>0</xdr:row>
      <xdr:rowOff>0</xdr:rowOff>
    </xdr:from>
    <xdr:to>
      <xdr:col>20</xdr:col>
      <xdr:colOff>476251</xdr:colOff>
      <xdr:row>14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70CAA5-8D16-FB93-11DC-E31643F35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476249</xdr:colOff>
      <xdr:row>7</xdr:row>
      <xdr:rowOff>12326</xdr:rowOff>
    </xdr:from>
    <xdr:to>
      <xdr:col>29</xdr:col>
      <xdr:colOff>386602</xdr:colOff>
      <xdr:row>21</xdr:row>
      <xdr:rowOff>88526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DFB806-A12F-30E0-DDAC-8EE847AEA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595312</xdr:colOff>
      <xdr:row>3</xdr:row>
      <xdr:rowOff>142875</xdr:rowOff>
    </xdr:from>
    <xdr:to>
      <xdr:col>22</xdr:col>
      <xdr:colOff>100012</xdr:colOff>
      <xdr:row>19</xdr:row>
      <xdr:rowOff>142875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EAFE757-3712-8FC6-36C2-6EB3467A2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609600</xdr:colOff>
      <xdr:row>15</xdr:row>
      <xdr:rowOff>19049</xdr:rowOff>
    </xdr:from>
    <xdr:to>
      <xdr:col>18</xdr:col>
      <xdr:colOff>600075</xdr:colOff>
      <xdr:row>29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03904-1634-C8DA-BF0A-174714EDB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12</xdr:row>
      <xdr:rowOff>14287</xdr:rowOff>
    </xdr:from>
    <xdr:to>
      <xdr:col>16</xdr:col>
      <xdr:colOff>714375</xdr:colOff>
      <xdr:row>26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6B654-100D-F7FE-3E83-79F0A074B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95250</xdr:colOff>
      <xdr:row>15</xdr:row>
      <xdr:rowOff>100012</xdr:rowOff>
    </xdr:from>
    <xdr:to>
      <xdr:col>17</xdr:col>
      <xdr:colOff>628650</xdr:colOff>
      <xdr:row>29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1074B4-BFF0-82D3-AC09-8A8109B1F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219075</xdr:colOff>
      <xdr:row>14</xdr:row>
      <xdr:rowOff>100012</xdr:rowOff>
    </xdr:from>
    <xdr:to>
      <xdr:col>18</xdr:col>
      <xdr:colOff>200025</xdr:colOff>
      <xdr:row>28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9E94DD-283E-9CCC-E17A-957BDF930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9"/>
  <sheetViews>
    <sheetView workbookViewId="0">
      <selection activeCell="E31" sqref="E31"/>
    </sheetView>
  </sheetViews>
  <sheetFormatPr defaultColWidth="9" defaultRowHeight="14.5"/>
  <cols>
    <col min="4" max="7" width="12.7265625"/>
    <col min="8" max="8" width="15.54296875" customWidth="1"/>
    <col min="11" max="11" width="12.7265625"/>
  </cols>
  <sheetData>
    <row r="1" spans="1:13">
      <c r="B1" t="s">
        <v>3</v>
      </c>
      <c r="C1" s="17" t="s">
        <v>4</v>
      </c>
      <c r="D1" t="s">
        <v>5</v>
      </c>
      <c r="E1" t="s">
        <v>0</v>
      </c>
      <c r="F1" s="18" t="s">
        <v>1</v>
      </c>
      <c r="G1" t="s">
        <v>10</v>
      </c>
      <c r="H1" s="19" t="s">
        <v>7</v>
      </c>
      <c r="I1" s="26" t="s">
        <v>7</v>
      </c>
      <c r="J1" t="s">
        <v>8</v>
      </c>
      <c r="K1" s="23" t="s">
        <v>2</v>
      </c>
    </row>
    <row r="2" spans="1:13">
      <c r="A2" t="s">
        <v>11</v>
      </c>
      <c r="B2">
        <v>160</v>
      </c>
      <c r="C2">
        <f>0.54*60/B2</f>
        <v>0.20250000000000001</v>
      </c>
      <c r="D2">
        <v>6.2022239377166099E-3</v>
      </c>
      <c r="E2">
        <f>D2*25</f>
        <v>0.155055598442915</v>
      </c>
      <c r="F2">
        <v>2.3807775377969702</v>
      </c>
      <c r="G2">
        <v>3.5121801515932099E-3</v>
      </c>
      <c r="H2" s="20">
        <v>2.3416717310250701</v>
      </c>
      <c r="I2">
        <v>0.29213495995854999</v>
      </c>
      <c r="K2">
        <f>G2*100/D2</f>
        <v>56.627754606458836</v>
      </c>
      <c r="L2">
        <v>6.2022239377166099E-3</v>
      </c>
      <c r="M2" s="24">
        <v>56.627754606458801</v>
      </c>
    </row>
    <row r="3" spans="1:13">
      <c r="A3" t="s">
        <v>12</v>
      </c>
      <c r="B3">
        <v>160</v>
      </c>
      <c r="C3">
        <f t="shared" ref="C3:C35" si="0">0.54*60/B3</f>
        <v>0.20250000000000001</v>
      </c>
      <c r="D3">
        <v>2.9984232051640001E-2</v>
      </c>
      <c r="E3">
        <f t="shared" ref="E3:E35" si="1">D3*25</f>
        <v>0.74960580129099996</v>
      </c>
      <c r="F3">
        <v>2.6684665226781799</v>
      </c>
      <c r="G3">
        <v>2.1683715597658301E-2</v>
      </c>
      <c r="H3" s="20">
        <v>3.1674851764860299</v>
      </c>
      <c r="I3">
        <v>2.8778896000735301</v>
      </c>
      <c r="K3">
        <f t="shared" ref="K3:K35" si="2">G3*100/D3</f>
        <v>72.317061715350107</v>
      </c>
      <c r="L3">
        <v>2.9984232051640001E-2</v>
      </c>
      <c r="M3" s="24">
        <v>72.317061715350107</v>
      </c>
    </row>
    <row r="4" spans="1:13">
      <c r="A4" t="s">
        <v>13</v>
      </c>
      <c r="B4">
        <v>160</v>
      </c>
      <c r="C4">
        <f t="shared" si="0"/>
        <v>0.20250000000000001</v>
      </c>
      <c r="D4">
        <v>6.3412282574774506E-2</v>
      </c>
      <c r="E4">
        <f t="shared" si="1"/>
        <v>1.5853070643693601</v>
      </c>
      <c r="F4">
        <v>2.9503239740820701</v>
      </c>
      <c r="G4">
        <v>5.3731058083717899E-2</v>
      </c>
      <c r="H4" s="20">
        <v>6.3338863065223299</v>
      </c>
      <c r="I4">
        <v>6.3338863065223299</v>
      </c>
      <c r="K4">
        <f t="shared" si="2"/>
        <v>84.732887544868504</v>
      </c>
      <c r="L4">
        <v>6.3412282574774506E-2</v>
      </c>
      <c r="M4" s="24">
        <v>84.732887544868504</v>
      </c>
    </row>
    <row r="5" spans="1:13">
      <c r="A5" t="s">
        <v>14</v>
      </c>
      <c r="B5">
        <v>160</v>
      </c>
      <c r="C5">
        <f t="shared" si="0"/>
        <v>0.20250000000000001</v>
      </c>
      <c r="D5">
        <v>0.18953123203521499</v>
      </c>
      <c r="E5">
        <f t="shared" si="1"/>
        <v>4.7382808008803696</v>
      </c>
      <c r="F5">
        <v>3.1699784017278598</v>
      </c>
      <c r="G5">
        <v>0.16789514125733199</v>
      </c>
      <c r="H5" s="20">
        <v>12.254882315260399</v>
      </c>
      <c r="I5">
        <v>9.6603240685589196</v>
      </c>
      <c r="K5">
        <f t="shared" si="2"/>
        <v>88.584419282483694</v>
      </c>
      <c r="L5">
        <v>0.18953123203521499</v>
      </c>
      <c r="M5" s="24">
        <v>88.584419282483694</v>
      </c>
    </row>
    <row r="6" spans="1:13">
      <c r="A6" t="s">
        <v>15</v>
      </c>
      <c r="B6">
        <v>160</v>
      </c>
      <c r="C6">
        <f t="shared" si="0"/>
        <v>0.20250000000000001</v>
      </c>
      <c r="D6">
        <v>0.206064418639028</v>
      </c>
      <c r="E6">
        <f t="shared" si="1"/>
        <v>5.1516104659756996</v>
      </c>
      <c r="F6">
        <v>3.4187904967602498</v>
      </c>
      <c r="G6">
        <v>0.17980619459290401</v>
      </c>
      <c r="H6" s="20">
        <v>16.3359886996369</v>
      </c>
      <c r="I6">
        <v>14.0982571098818</v>
      </c>
      <c r="K6">
        <f t="shared" si="2"/>
        <v>87.2572740992604</v>
      </c>
      <c r="L6">
        <v>0.206064418639028</v>
      </c>
      <c r="M6" s="24">
        <v>87.2572740992604</v>
      </c>
    </row>
    <row r="7" spans="1:13">
      <c r="A7" t="s">
        <v>16</v>
      </c>
      <c r="B7">
        <v>160</v>
      </c>
      <c r="C7">
        <f t="shared" si="0"/>
        <v>0.20250000000000001</v>
      </c>
      <c r="D7">
        <v>0.20985020449058001</v>
      </c>
      <c r="E7">
        <f t="shared" si="1"/>
        <v>5.2462551122644996</v>
      </c>
      <c r="F7">
        <v>3.64816414686825</v>
      </c>
      <c r="G7">
        <v>0.13935778435312299</v>
      </c>
      <c r="H7" s="20">
        <v>18.8198840398797</v>
      </c>
      <c r="I7">
        <v>18.8198840398797</v>
      </c>
      <c r="K7">
        <f t="shared" si="2"/>
        <v>66.408219468463102</v>
      </c>
      <c r="L7">
        <v>0.20985020449058001</v>
      </c>
      <c r="M7" s="24">
        <v>66.408219468463102</v>
      </c>
    </row>
    <row r="8" spans="1:13">
      <c r="A8" t="s">
        <v>17</v>
      </c>
      <c r="B8">
        <v>160</v>
      </c>
      <c r="C8">
        <f t="shared" si="0"/>
        <v>0.20250000000000001</v>
      </c>
      <c r="D8">
        <v>0.26464333229308601</v>
      </c>
      <c r="E8">
        <f t="shared" si="1"/>
        <v>6.6160833073271501</v>
      </c>
      <c r="F8">
        <v>3.8386609071274198</v>
      </c>
      <c r="G8">
        <v>0.14260331559534201</v>
      </c>
      <c r="H8" s="20">
        <v>20.782747236502701</v>
      </c>
      <c r="I8">
        <v>23.200945292151101</v>
      </c>
      <c r="K8">
        <f t="shared" si="2"/>
        <v>53.885096729893199</v>
      </c>
      <c r="L8">
        <v>0.26464333229308601</v>
      </c>
      <c r="M8" s="24">
        <v>53.885096729893199</v>
      </c>
    </row>
    <row r="9" spans="1:13">
      <c r="A9" t="s">
        <v>18</v>
      </c>
      <c r="B9" s="21">
        <v>120</v>
      </c>
      <c r="C9">
        <f t="shared" si="0"/>
        <v>0.27</v>
      </c>
      <c r="D9">
        <v>2.0710214674046902E-3</v>
      </c>
      <c r="E9">
        <f t="shared" si="1"/>
        <v>5.17755366851173E-2</v>
      </c>
      <c r="F9">
        <v>2.38660907127429</v>
      </c>
      <c r="G9">
        <v>1.3044696263441E-3</v>
      </c>
      <c r="H9" s="20">
        <v>0.68620140269039998</v>
      </c>
      <c r="I9">
        <v>0.68620140269039998</v>
      </c>
      <c r="K9">
        <f t="shared" si="2"/>
        <v>62.986774732895498</v>
      </c>
    </row>
    <row r="10" spans="1:13">
      <c r="A10" t="s">
        <v>19</v>
      </c>
      <c r="B10">
        <v>120</v>
      </c>
      <c r="C10">
        <f t="shared" si="0"/>
        <v>0.27</v>
      </c>
      <c r="D10">
        <v>7.23995203915707E-3</v>
      </c>
      <c r="E10">
        <f t="shared" si="1"/>
        <v>0.18099880097892701</v>
      </c>
      <c r="F10">
        <v>2.6820734341252699</v>
      </c>
      <c r="G10">
        <v>5.3023642290921996E-3</v>
      </c>
      <c r="H10" s="20">
        <v>1.11390700195457</v>
      </c>
      <c r="I10">
        <v>3.6251897442344698</v>
      </c>
      <c r="K10">
        <f t="shared" si="2"/>
        <v>73.237560144245705</v>
      </c>
    </row>
    <row r="11" spans="1:13">
      <c r="A11" t="s">
        <v>20</v>
      </c>
      <c r="B11">
        <v>120</v>
      </c>
      <c r="C11">
        <f t="shared" si="0"/>
        <v>0.27</v>
      </c>
      <c r="D11">
        <v>2.3028037383177501E-2</v>
      </c>
      <c r="E11">
        <f t="shared" si="1"/>
        <v>0.57570093457943705</v>
      </c>
      <c r="F11">
        <v>2.9619870410367102</v>
      </c>
      <c r="G11">
        <v>2.0797138373702201E-2</v>
      </c>
      <c r="H11" s="20">
        <v>2.99837393032537</v>
      </c>
      <c r="I11">
        <v>7.3768089230695102</v>
      </c>
      <c r="K11">
        <f t="shared" si="2"/>
        <v>90.312248619567498</v>
      </c>
    </row>
    <row r="12" spans="1:13">
      <c r="A12" t="s">
        <v>21</v>
      </c>
      <c r="B12">
        <v>120</v>
      </c>
      <c r="C12">
        <f t="shared" si="0"/>
        <v>0.27</v>
      </c>
      <c r="D12">
        <v>7.3425422531741197E-2</v>
      </c>
      <c r="E12">
        <f t="shared" si="1"/>
        <v>1.8356355632935299</v>
      </c>
      <c r="F12">
        <v>3.2146868250539899</v>
      </c>
      <c r="G12">
        <v>6.5797138373702199E-2</v>
      </c>
      <c r="H12" s="20">
        <v>10.6228668101111</v>
      </c>
      <c r="I12">
        <v>11.57205212287</v>
      </c>
      <c r="K12">
        <f t="shared" si="2"/>
        <v>89.6108406393694</v>
      </c>
    </row>
    <row r="13" spans="1:13">
      <c r="A13" t="s">
        <v>22</v>
      </c>
      <c r="B13">
        <v>120</v>
      </c>
      <c r="C13">
        <f t="shared" si="0"/>
        <v>0.27</v>
      </c>
      <c r="D13">
        <v>0.18095149713384601</v>
      </c>
      <c r="E13">
        <f t="shared" si="1"/>
        <v>4.5237874283461501</v>
      </c>
      <c r="F13">
        <v>3.4596112311015101</v>
      </c>
      <c r="G13">
        <v>0.134199387373406</v>
      </c>
      <c r="H13" s="20">
        <v>21.665062496920299</v>
      </c>
      <c r="I13">
        <v>16.3702326505231</v>
      </c>
      <c r="K13">
        <f t="shared" si="2"/>
        <v>74.163181570220203</v>
      </c>
    </row>
    <row r="14" spans="1:13">
      <c r="A14" t="s">
        <v>23</v>
      </c>
      <c r="B14">
        <v>120</v>
      </c>
      <c r="C14">
        <f t="shared" si="0"/>
        <v>0.27</v>
      </c>
      <c r="D14">
        <v>0.27051147282492599</v>
      </c>
      <c r="E14">
        <f t="shared" si="1"/>
        <v>6.7627868206231501</v>
      </c>
      <c r="F14">
        <v>3.7084233261339001</v>
      </c>
      <c r="G14">
        <v>0.14308305201535601</v>
      </c>
      <c r="H14" s="20">
        <v>23.012827882988599</v>
      </c>
      <c r="I14">
        <v>21.9824062041546</v>
      </c>
      <c r="K14">
        <f t="shared" si="2"/>
        <v>52.893524448761099</v>
      </c>
    </row>
    <row r="15" spans="1:13">
      <c r="A15" t="s">
        <v>24</v>
      </c>
      <c r="B15" s="21">
        <v>80</v>
      </c>
      <c r="C15">
        <f t="shared" si="0"/>
        <v>0.40500000000000003</v>
      </c>
      <c r="D15">
        <v>3.1043148333688999E-3</v>
      </c>
      <c r="E15">
        <f t="shared" si="1"/>
        <v>7.7607870834222506E-2</v>
      </c>
      <c r="F15">
        <v>2.47213822894168</v>
      </c>
      <c r="G15">
        <v>2.52149809784653E-3</v>
      </c>
      <c r="H15" s="20">
        <v>0.68590575365865902</v>
      </c>
      <c r="I15">
        <v>2.2442301200958799</v>
      </c>
      <c r="K15">
        <f t="shared" si="2"/>
        <v>81.225591900101193</v>
      </c>
    </row>
    <row r="16" spans="1:13">
      <c r="A16" t="s">
        <v>25</v>
      </c>
      <c r="B16">
        <v>80</v>
      </c>
      <c r="C16">
        <f t="shared" si="0"/>
        <v>0.40500000000000003</v>
      </c>
      <c r="D16">
        <v>7.5873396514626202E-3</v>
      </c>
      <c r="E16">
        <f t="shared" si="1"/>
        <v>0.189683491286566</v>
      </c>
      <c r="F16">
        <v>2.5498920086393002</v>
      </c>
      <c r="G16">
        <v>6.4864301472504103E-3</v>
      </c>
      <c r="H16" s="20">
        <v>1.6288290655847899</v>
      </c>
      <c r="I16">
        <v>3.1542477997081302</v>
      </c>
      <c r="K16">
        <f t="shared" si="2"/>
        <v>85.490177654034696</v>
      </c>
    </row>
    <row r="17" spans="1:11">
      <c r="A17" t="s">
        <v>26</v>
      </c>
      <c r="B17">
        <v>80</v>
      </c>
      <c r="C17">
        <f t="shared" si="0"/>
        <v>0.40500000000000003</v>
      </c>
      <c r="D17">
        <v>1.8278501387907899E-2</v>
      </c>
      <c r="E17">
        <f t="shared" si="1"/>
        <v>0.45696253469769799</v>
      </c>
      <c r="F17">
        <v>2.70539956803455</v>
      </c>
      <c r="G17">
        <v>1.6429162878765901E-2</v>
      </c>
      <c r="H17" s="20">
        <v>4.0292035543583502</v>
      </c>
      <c r="I17">
        <v>5.1917085499548801</v>
      </c>
      <c r="K17">
        <f t="shared" si="2"/>
        <v>89.882439102116805</v>
      </c>
    </row>
    <row r="18" spans="1:11">
      <c r="A18" t="s">
        <v>27</v>
      </c>
      <c r="B18">
        <v>80</v>
      </c>
      <c r="C18">
        <f t="shared" si="0"/>
        <v>0.40500000000000003</v>
      </c>
      <c r="D18">
        <v>3.6897491910713898E-2</v>
      </c>
      <c r="E18">
        <f t="shared" si="1"/>
        <v>0.922437297767848</v>
      </c>
      <c r="F18">
        <v>2.8570194384449201</v>
      </c>
      <c r="G18">
        <v>3.2805632922020399E-2</v>
      </c>
      <c r="H18" s="20">
        <v>7.45735262717014</v>
      </c>
      <c r="I18">
        <v>7.45735262717014</v>
      </c>
      <c r="K18">
        <f t="shared" si="2"/>
        <v>88.910197477391804</v>
      </c>
    </row>
    <row r="19" spans="1:11">
      <c r="A19" t="s">
        <v>28</v>
      </c>
      <c r="B19">
        <v>80</v>
      </c>
      <c r="C19">
        <f t="shared" si="0"/>
        <v>0.40500000000000003</v>
      </c>
      <c r="D19">
        <v>7.4480396826700296E-2</v>
      </c>
      <c r="E19">
        <f t="shared" si="1"/>
        <v>1.86200992066751</v>
      </c>
      <c r="F19">
        <v>3.0319654427645699</v>
      </c>
      <c r="G19">
        <v>6.3126595984921693E-2</v>
      </c>
      <c r="H19" s="20">
        <v>14.399388992001001</v>
      </c>
      <c r="I19">
        <v>10.414002322509001</v>
      </c>
      <c r="K19">
        <f t="shared" si="2"/>
        <v>84.755987715537501</v>
      </c>
    </row>
    <row r="20" spans="1:11">
      <c r="A20" t="s">
        <v>29</v>
      </c>
      <c r="B20">
        <v>80</v>
      </c>
      <c r="C20">
        <f t="shared" si="0"/>
        <v>0.40500000000000003</v>
      </c>
      <c r="D20">
        <v>0.11239590690340399</v>
      </c>
      <c r="E20">
        <f t="shared" si="1"/>
        <v>2.8098976725850999</v>
      </c>
      <c r="F20">
        <v>3.1952483801295801</v>
      </c>
      <c r="G20">
        <v>8.5939119508508993E-2</v>
      </c>
      <c r="H20" s="20">
        <v>19.281244353924698</v>
      </c>
      <c r="I20">
        <v>13.5045721959898</v>
      </c>
      <c r="K20">
        <f t="shared" si="2"/>
        <v>76.461075742168603</v>
      </c>
    </row>
    <row r="21" spans="1:11">
      <c r="A21" t="s">
        <v>30</v>
      </c>
      <c r="B21">
        <v>80</v>
      </c>
      <c r="C21">
        <f t="shared" si="0"/>
        <v>0.40500000000000003</v>
      </c>
      <c r="D21">
        <v>0.13890675558037499</v>
      </c>
      <c r="E21">
        <f t="shared" si="1"/>
        <v>3.47266888950938</v>
      </c>
      <c r="F21">
        <v>3.3838012958963199</v>
      </c>
      <c r="G21">
        <v>9.7763449701503705E-2</v>
      </c>
      <c r="H21" s="20">
        <v>17.471083882200201</v>
      </c>
      <c r="I21">
        <v>17.471083882200201</v>
      </c>
      <c r="K21">
        <f t="shared" si="2"/>
        <v>70.380630008261406</v>
      </c>
    </row>
    <row r="22" spans="1:11">
      <c r="A22" t="s">
        <v>31</v>
      </c>
      <c r="B22">
        <v>80</v>
      </c>
      <c r="C22">
        <f t="shared" si="0"/>
        <v>0.40500000000000003</v>
      </c>
      <c r="D22">
        <v>0.15270814513082401</v>
      </c>
      <c r="E22">
        <f t="shared" si="1"/>
        <v>3.8177036282705998</v>
      </c>
      <c r="F22">
        <v>3.6112311015118701</v>
      </c>
      <c r="G22">
        <v>7.79581815760369E-2</v>
      </c>
      <c r="H22" s="20">
        <v>21.673143570454702</v>
      </c>
      <c r="I22">
        <v>22.8225056274445</v>
      </c>
      <c r="K22">
        <f t="shared" si="2"/>
        <v>51.0504410287026</v>
      </c>
    </row>
    <row r="23" spans="1:11">
      <c r="A23" t="s">
        <v>32</v>
      </c>
      <c r="B23" s="21">
        <v>30</v>
      </c>
      <c r="C23">
        <f t="shared" si="0"/>
        <v>1.08</v>
      </c>
      <c r="D23">
        <v>2.7608692081533301E-3</v>
      </c>
      <c r="E23">
        <f t="shared" si="1"/>
        <v>6.9021730203833204E-2</v>
      </c>
      <c r="F23">
        <v>2.2796976241900602</v>
      </c>
      <c r="G23">
        <v>1.08425642302503E-3</v>
      </c>
      <c r="H23" s="20">
        <v>0.85767784110507195</v>
      </c>
      <c r="I23">
        <v>5.1145542791393703</v>
      </c>
      <c r="K23">
        <f t="shared" si="2"/>
        <v>39.272284968191599</v>
      </c>
    </row>
    <row r="24" spans="1:11">
      <c r="A24" t="s">
        <v>33</v>
      </c>
      <c r="B24">
        <v>30</v>
      </c>
      <c r="C24">
        <f t="shared" si="0"/>
        <v>1.08</v>
      </c>
      <c r="D24">
        <v>5.52912964210041E-3</v>
      </c>
      <c r="E24">
        <f t="shared" si="1"/>
        <v>0.13822824105251</v>
      </c>
      <c r="F24">
        <v>2.4468682505399499</v>
      </c>
      <c r="G24">
        <v>4.0582168976079896E-3</v>
      </c>
      <c r="H24" s="20">
        <v>3.0886454346861898</v>
      </c>
      <c r="I24">
        <v>8.4171681937010892</v>
      </c>
      <c r="K24">
        <f t="shared" si="2"/>
        <v>73.397029194387798</v>
      </c>
    </row>
    <row r="25" spans="1:11">
      <c r="A25" t="s">
        <v>34</v>
      </c>
      <c r="B25">
        <v>30</v>
      </c>
      <c r="C25">
        <f t="shared" si="0"/>
        <v>1.08</v>
      </c>
      <c r="D25">
        <v>1.0021516679532799E-2</v>
      </c>
      <c r="E25">
        <f t="shared" si="1"/>
        <v>0.25053791698832001</v>
      </c>
      <c r="F25">
        <v>2.5596112311015098</v>
      </c>
      <c r="G25">
        <v>7.8283603263481598E-3</v>
      </c>
      <c r="H25" s="20">
        <v>5.6624673554194001</v>
      </c>
      <c r="I25">
        <v>12.512538432628901</v>
      </c>
      <c r="K25">
        <f t="shared" si="2"/>
        <v>78.115524592562096</v>
      </c>
    </row>
    <row r="26" spans="1:11">
      <c r="A26" t="s">
        <v>35</v>
      </c>
      <c r="B26">
        <v>30</v>
      </c>
      <c r="C26">
        <f t="shared" si="0"/>
        <v>1.08</v>
      </c>
      <c r="D26">
        <v>2.34907938176502E-2</v>
      </c>
      <c r="E26">
        <f t="shared" si="1"/>
        <v>0.58726984544125505</v>
      </c>
      <c r="F26">
        <v>2.70539956803455</v>
      </c>
      <c r="G26">
        <v>1.8573934996728301E-2</v>
      </c>
      <c r="H26" s="20">
        <v>12.0105448154657</v>
      </c>
      <c r="I26">
        <v>16.562054523877801</v>
      </c>
      <c r="K26">
        <f t="shared" si="2"/>
        <v>79.068996735105898</v>
      </c>
    </row>
    <row r="27" spans="1:11">
      <c r="A27" t="s">
        <v>36</v>
      </c>
      <c r="B27">
        <v>30</v>
      </c>
      <c r="C27">
        <f t="shared" si="0"/>
        <v>1.08</v>
      </c>
      <c r="D27">
        <v>4.3871359821296502E-2</v>
      </c>
      <c r="E27">
        <f t="shared" si="1"/>
        <v>1.0967839955324099</v>
      </c>
      <c r="F27">
        <v>2.8570194384449201</v>
      </c>
      <c r="G27">
        <v>3.5218501554728103E-2</v>
      </c>
      <c r="H27" s="20">
        <v>22.3051426506578</v>
      </c>
      <c r="I27">
        <v>22.374638821799198</v>
      </c>
      <c r="K27">
        <f t="shared" si="2"/>
        <v>80.276749337575694</v>
      </c>
    </row>
    <row r="28" spans="1:11">
      <c r="A28" t="s">
        <v>37</v>
      </c>
      <c r="B28">
        <v>30</v>
      </c>
      <c r="C28">
        <f t="shared" si="0"/>
        <v>1.08</v>
      </c>
      <c r="D28">
        <v>8.7007046301923296E-2</v>
      </c>
      <c r="E28">
        <f t="shared" si="1"/>
        <v>2.1751761575480799</v>
      </c>
      <c r="F28">
        <v>3.0902807775377901</v>
      </c>
      <c r="G28">
        <v>5.8041447836988003E-2</v>
      </c>
      <c r="H28" s="20">
        <v>36.541727575842103</v>
      </c>
      <c r="I28">
        <v>25.311854243038699</v>
      </c>
      <c r="K28">
        <f t="shared" si="2"/>
        <v>66.708904972567694</v>
      </c>
    </row>
    <row r="29" spans="1:11">
      <c r="A29" t="s">
        <v>38</v>
      </c>
      <c r="B29">
        <v>30</v>
      </c>
      <c r="C29">
        <f t="shared" si="0"/>
        <v>1.08</v>
      </c>
      <c r="D29">
        <v>9.8041160915198003E-2</v>
      </c>
      <c r="E29">
        <f>D29*25</f>
        <v>2.4510290228799501</v>
      </c>
      <c r="F29">
        <v>3.2166306695464302</v>
      </c>
      <c r="G29">
        <v>6.1277424883757203E-2</v>
      </c>
      <c r="H29" s="20">
        <v>38.6844932082847</v>
      </c>
      <c r="I29">
        <v>30.8591857000776</v>
      </c>
      <c r="K29">
        <f t="shared" si="2"/>
        <v>62.501733263603299</v>
      </c>
    </row>
    <row r="30" spans="1:11">
      <c r="A30" t="s">
        <v>39</v>
      </c>
      <c r="B30">
        <v>30</v>
      </c>
      <c r="C30">
        <f t="shared" si="0"/>
        <v>1.08</v>
      </c>
      <c r="D30">
        <v>0.137932592020761</v>
      </c>
      <c r="E30">
        <f t="shared" si="1"/>
        <v>3.4483148005190198</v>
      </c>
      <c r="F30">
        <v>3.4751619870410302</v>
      </c>
      <c r="G30">
        <v>4.2817271669204703E-2</v>
      </c>
      <c r="H30" s="20">
        <v>27.771791797381798</v>
      </c>
      <c r="I30">
        <v>2.5735262717014602</v>
      </c>
      <c r="K30">
        <f t="shared" si="2"/>
        <v>31.042171427301302</v>
      </c>
    </row>
    <row r="31" spans="1:11">
      <c r="A31" t="s">
        <v>40</v>
      </c>
      <c r="B31" s="21">
        <v>15</v>
      </c>
      <c r="C31">
        <f t="shared" si="0"/>
        <v>2.16</v>
      </c>
      <c r="D31">
        <v>5.8706042737710004E-3</v>
      </c>
      <c r="E31">
        <f t="shared" si="1"/>
        <v>0.14676510684427499</v>
      </c>
      <c r="F31">
        <v>2.39049676025917</v>
      </c>
      <c r="G31">
        <v>2.1731451832378902E-3</v>
      </c>
      <c r="H31" s="20">
        <v>2.5735262717014602</v>
      </c>
      <c r="I31">
        <v>25.8169358838467</v>
      </c>
      <c r="K31">
        <f t="shared" si="2"/>
        <v>37.017401989556397</v>
      </c>
    </row>
    <row r="32" spans="1:11">
      <c r="A32" t="s">
        <v>41</v>
      </c>
      <c r="B32">
        <v>15</v>
      </c>
      <c r="C32">
        <f t="shared" si="0"/>
        <v>2.16</v>
      </c>
      <c r="D32">
        <v>2.1798695859271001E-2</v>
      </c>
      <c r="E32">
        <f t="shared" si="1"/>
        <v>0.54496739648177495</v>
      </c>
      <c r="F32">
        <v>2.6820734341252699</v>
      </c>
      <c r="G32">
        <v>1.2404240904695401E-2</v>
      </c>
      <c r="H32" s="20">
        <v>17.247080465811401</v>
      </c>
      <c r="I32">
        <v>33.981308411214897</v>
      </c>
      <c r="K32">
        <f t="shared" si="2"/>
        <v>56.903591778036898</v>
      </c>
    </row>
    <row r="33" spans="1:11">
      <c r="A33" t="s">
        <v>42</v>
      </c>
      <c r="B33">
        <v>15</v>
      </c>
      <c r="C33">
        <f t="shared" si="0"/>
        <v>2.16</v>
      </c>
      <c r="D33">
        <v>3.5672026674112602E-2</v>
      </c>
      <c r="E33">
        <f t="shared" si="1"/>
        <v>0.891800666852815</v>
      </c>
      <c r="F33">
        <v>2.8336933045356298</v>
      </c>
      <c r="G33">
        <v>2.5027359741515501E-2</v>
      </c>
      <c r="H33" s="20">
        <v>33.981308411214897</v>
      </c>
      <c r="I33">
        <v>39.079818515291102</v>
      </c>
      <c r="K33">
        <f t="shared" si="2"/>
        <v>70.159623870426202</v>
      </c>
    </row>
    <row r="34" spans="1:11">
      <c r="A34" t="s">
        <v>43</v>
      </c>
      <c r="B34">
        <v>15</v>
      </c>
      <c r="C34">
        <f t="shared" si="0"/>
        <v>2.16</v>
      </c>
      <c r="D34">
        <v>5.0190365126554198E-2</v>
      </c>
      <c r="E34">
        <f t="shared" si="1"/>
        <v>1.2547591281638599</v>
      </c>
      <c r="F34">
        <v>2.97170626349891</v>
      </c>
      <c r="G34">
        <v>3.2018425121164498E-2</v>
      </c>
      <c r="H34" s="20">
        <v>43.0758668265361</v>
      </c>
      <c r="I34">
        <v>42.379022058702702</v>
      </c>
      <c r="K34">
        <f t="shared" si="2"/>
        <v>63.793967309125101</v>
      </c>
    </row>
    <row r="35" spans="1:11">
      <c r="A35" t="s">
        <v>44</v>
      </c>
      <c r="B35">
        <v>15</v>
      </c>
      <c r="C35">
        <f t="shared" si="0"/>
        <v>2.16</v>
      </c>
      <c r="D35">
        <v>8.5662828704235902E-2</v>
      </c>
      <c r="E35">
        <f t="shared" si="1"/>
        <v>2.1415707176058998</v>
      </c>
      <c r="F35">
        <v>3.15053995680345</v>
      </c>
      <c r="G35">
        <v>3.12407715157586E-2</v>
      </c>
      <c r="H35" s="20">
        <v>42.379022058702702</v>
      </c>
      <c r="K35">
        <f t="shared" si="2"/>
        <v>36.469460544692197</v>
      </c>
    </row>
    <row r="36" spans="1:11">
      <c r="D36" s="21"/>
      <c r="F36" s="21"/>
      <c r="G36" s="21"/>
      <c r="H36" s="22"/>
    </row>
    <row r="37" spans="1:11">
      <c r="B37">
        <v>25</v>
      </c>
      <c r="C37" t="s">
        <v>6</v>
      </c>
      <c r="H37" s="20"/>
    </row>
    <row r="38" spans="1:11">
      <c r="H38" s="20"/>
    </row>
    <row r="39" spans="1:11">
      <c r="B39" s="21"/>
      <c r="C39" t="s">
        <v>45</v>
      </c>
      <c r="H39" s="20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>
      <selection activeCell="J23" sqref="J23"/>
    </sheetView>
  </sheetViews>
  <sheetFormatPr defaultColWidth="9" defaultRowHeight="14.5"/>
  <cols>
    <col min="4" max="4" width="12.7265625"/>
  </cols>
  <sheetData>
    <row r="1" spans="1:4">
      <c r="B1" t="s">
        <v>46</v>
      </c>
      <c r="C1" t="s">
        <v>47</v>
      </c>
      <c r="D1" t="s">
        <v>48</v>
      </c>
    </row>
    <row r="2" spans="1:4">
      <c r="A2" t="s">
        <v>11</v>
      </c>
      <c r="B2">
        <v>0.20250000000000001</v>
      </c>
      <c r="C2">
        <v>25</v>
      </c>
      <c r="D2">
        <v>2.38493150684931</v>
      </c>
    </row>
    <row r="3" spans="1:4">
      <c r="A3" t="s">
        <v>12</v>
      </c>
      <c r="B3">
        <v>0.20250000000000001</v>
      </c>
      <c r="C3">
        <v>25</v>
      </c>
      <c r="D3">
        <v>2.6684931506849301</v>
      </c>
    </row>
    <row r="4" spans="1:4">
      <c r="A4" t="s">
        <v>13</v>
      </c>
      <c r="B4">
        <v>0.20250000000000001</v>
      </c>
      <c r="C4">
        <v>25</v>
      </c>
      <c r="D4">
        <v>2.95821917808219</v>
      </c>
    </row>
    <row r="5" spans="1:4">
      <c r="A5" t="s">
        <v>14</v>
      </c>
      <c r="B5">
        <v>0.20250000000000001</v>
      </c>
      <c r="C5">
        <v>25</v>
      </c>
      <c r="D5">
        <v>3.1678082191780801</v>
      </c>
    </row>
    <row r="6" spans="1:4">
      <c r="A6" t="s">
        <v>15</v>
      </c>
      <c r="B6">
        <v>0.27</v>
      </c>
      <c r="C6">
        <v>25</v>
      </c>
      <c r="D6">
        <v>2.3910958904109498</v>
      </c>
    </row>
    <row r="7" spans="1:4">
      <c r="A7" t="s">
        <v>16</v>
      </c>
      <c r="B7">
        <v>0.27</v>
      </c>
      <c r="C7">
        <v>25</v>
      </c>
      <c r="D7">
        <v>2.6808219178082102</v>
      </c>
    </row>
    <row r="8" spans="1:4">
      <c r="A8" t="s">
        <v>17</v>
      </c>
      <c r="B8">
        <v>0.27</v>
      </c>
      <c r="C8">
        <v>25</v>
      </c>
      <c r="D8">
        <v>2.95821917808219</v>
      </c>
    </row>
    <row r="9" spans="1:4">
      <c r="A9" t="s">
        <v>18</v>
      </c>
      <c r="B9">
        <v>0.27</v>
      </c>
      <c r="C9">
        <v>25</v>
      </c>
      <c r="D9">
        <v>3.2084931506849301</v>
      </c>
    </row>
    <row r="10" spans="1:4">
      <c r="A10" t="s">
        <v>19</v>
      </c>
      <c r="B10">
        <v>0.40500000000000003</v>
      </c>
      <c r="C10">
        <v>25</v>
      </c>
      <c r="D10">
        <v>2.46876712328767</v>
      </c>
    </row>
    <row r="11" spans="1:4">
      <c r="A11" t="s">
        <v>20</v>
      </c>
      <c r="B11">
        <v>0.40500000000000003</v>
      </c>
      <c r="C11">
        <v>25</v>
      </c>
      <c r="D11">
        <v>2.5501369863013599</v>
      </c>
    </row>
    <row r="12" spans="1:4">
      <c r="A12" t="s">
        <v>21</v>
      </c>
      <c r="B12">
        <v>0.40500000000000003</v>
      </c>
      <c r="C12">
        <v>25</v>
      </c>
      <c r="D12">
        <v>2.69808219178082</v>
      </c>
    </row>
    <row r="13" spans="1:4">
      <c r="A13" t="s">
        <v>22</v>
      </c>
      <c r="B13">
        <v>0.40500000000000003</v>
      </c>
      <c r="C13">
        <v>25</v>
      </c>
      <c r="D13">
        <v>2.8521917808219102</v>
      </c>
    </row>
    <row r="14" spans="1:4">
      <c r="A14" t="s">
        <v>23</v>
      </c>
      <c r="B14">
        <v>0.40500000000000003</v>
      </c>
      <c r="C14">
        <v>25</v>
      </c>
      <c r="D14">
        <v>3.0321917808219099</v>
      </c>
    </row>
    <row r="15" spans="1:4">
      <c r="A15" t="s">
        <v>24</v>
      </c>
      <c r="B15">
        <v>0.40500000000000003</v>
      </c>
      <c r="C15">
        <v>25</v>
      </c>
      <c r="D15">
        <v>3.18753424657534</v>
      </c>
    </row>
    <row r="16" spans="1:4">
      <c r="A16" t="s">
        <v>25</v>
      </c>
      <c r="B16">
        <v>1.08</v>
      </c>
      <c r="C16">
        <v>25</v>
      </c>
      <c r="D16">
        <v>2.28136986301369</v>
      </c>
    </row>
    <row r="17" spans="1:4">
      <c r="A17" t="s">
        <v>26</v>
      </c>
      <c r="B17">
        <v>1.08</v>
      </c>
      <c r="C17">
        <v>25</v>
      </c>
      <c r="D17">
        <v>2.4564383561643801</v>
      </c>
    </row>
    <row r="18" spans="1:4">
      <c r="A18" t="s">
        <v>27</v>
      </c>
      <c r="B18">
        <v>1.08</v>
      </c>
      <c r="C18">
        <v>25</v>
      </c>
      <c r="D18">
        <v>2.5587671232876699</v>
      </c>
    </row>
    <row r="19" spans="1:4">
      <c r="A19" t="s">
        <v>28</v>
      </c>
      <c r="B19">
        <v>1.08</v>
      </c>
      <c r="C19">
        <v>25</v>
      </c>
      <c r="D19">
        <v>2.7067123287671202</v>
      </c>
    </row>
    <row r="20" spans="1:4">
      <c r="A20" t="s">
        <v>29</v>
      </c>
      <c r="B20">
        <v>1.08</v>
      </c>
      <c r="C20">
        <v>25</v>
      </c>
      <c r="D20">
        <v>2.8558904109588998</v>
      </c>
    </row>
    <row r="21" spans="1:4">
      <c r="A21" t="s">
        <v>30</v>
      </c>
      <c r="B21">
        <v>1.08</v>
      </c>
      <c r="C21">
        <v>25</v>
      </c>
      <c r="D21">
        <v>3.08643835616438</v>
      </c>
    </row>
    <row r="22" spans="1:4">
      <c r="A22" t="s">
        <v>31</v>
      </c>
      <c r="B22">
        <v>1.08</v>
      </c>
      <c r="C22">
        <v>25</v>
      </c>
      <c r="D22">
        <v>3.2171232876712299</v>
      </c>
    </row>
    <row r="23" spans="1:4">
      <c r="A23" t="s">
        <v>32</v>
      </c>
      <c r="B23">
        <v>2.16</v>
      </c>
      <c r="C23">
        <v>25</v>
      </c>
      <c r="D23">
        <v>2.3910958904109498</v>
      </c>
    </row>
    <row r="24" spans="1:4">
      <c r="A24" t="s">
        <v>33</v>
      </c>
      <c r="B24">
        <v>2.16</v>
      </c>
      <c r="C24">
        <v>25</v>
      </c>
      <c r="D24">
        <v>2.6771232876712299</v>
      </c>
    </row>
    <row r="25" spans="1:4">
      <c r="A25" t="s">
        <v>34</v>
      </c>
      <c r="B25">
        <v>2.16</v>
      </c>
      <c r="C25">
        <v>25</v>
      </c>
      <c r="D25">
        <v>2.8275342465753401</v>
      </c>
    </row>
    <row r="26" spans="1:4">
      <c r="A26" t="s">
        <v>35</v>
      </c>
      <c r="B26">
        <v>2.16</v>
      </c>
      <c r="C26">
        <v>25</v>
      </c>
      <c r="D26">
        <v>2.9705479452054702</v>
      </c>
    </row>
    <row r="27" spans="1:4">
      <c r="A27" t="s">
        <v>36</v>
      </c>
      <c r="B27">
        <v>2.16</v>
      </c>
      <c r="C27">
        <v>25</v>
      </c>
      <c r="D27">
        <v>3.14684931506849</v>
      </c>
    </row>
    <row r="28" spans="1:4">
      <c r="A28" t="s">
        <v>37</v>
      </c>
      <c r="B28">
        <v>0.40500000000000003</v>
      </c>
      <c r="C28">
        <v>25</v>
      </c>
      <c r="D28">
        <v>2.46702940944667</v>
      </c>
    </row>
    <row r="29" spans="1:4">
      <c r="A29" t="s">
        <v>38</v>
      </c>
      <c r="B29">
        <v>0.40500000000000003</v>
      </c>
      <c r="C29">
        <v>25</v>
      </c>
      <c r="D29">
        <v>2.5500803288328902</v>
      </c>
    </row>
    <row r="30" spans="1:4">
      <c r="A30" t="s">
        <v>39</v>
      </c>
      <c r="B30">
        <v>0.40500000000000003</v>
      </c>
      <c r="C30">
        <v>25</v>
      </c>
      <c r="D30">
        <v>2.6934445609801898</v>
      </c>
    </row>
    <row r="31" spans="1:4">
      <c r="A31" t="s">
        <v>40</v>
      </c>
      <c r="B31">
        <v>0.40500000000000003</v>
      </c>
      <c r="C31">
        <v>25</v>
      </c>
      <c r="D31">
        <v>2.8496462500075701</v>
      </c>
    </row>
    <row r="32" spans="1:4">
      <c r="A32" t="s">
        <v>41</v>
      </c>
      <c r="B32">
        <v>0.40500000000000003</v>
      </c>
      <c r="C32">
        <v>25</v>
      </c>
      <c r="D32">
        <v>3.0282945430956598</v>
      </c>
    </row>
    <row r="33" spans="1:4">
      <c r="A33" t="s">
        <v>42</v>
      </c>
      <c r="B33">
        <v>0.40500000000000003</v>
      </c>
      <c r="C33">
        <v>25</v>
      </c>
      <c r="D33">
        <v>3.1887309256912801</v>
      </c>
    </row>
    <row r="34" spans="1:4">
      <c r="A34" t="s">
        <v>43</v>
      </c>
      <c r="B34">
        <v>0.40500000000000003</v>
      </c>
      <c r="C34">
        <v>45</v>
      </c>
      <c r="D34">
        <v>2.3785282545302402</v>
      </c>
    </row>
    <row r="35" spans="1:4">
      <c r="A35" t="s">
        <v>44</v>
      </c>
      <c r="B35">
        <v>0.40500000000000003</v>
      </c>
      <c r="C35">
        <v>45</v>
      </c>
      <c r="D35">
        <v>2.6574329936282499</v>
      </c>
    </row>
    <row r="36" spans="1:4">
      <c r="A36" t="s">
        <v>49</v>
      </c>
      <c r="B36">
        <v>0.40500000000000003</v>
      </c>
      <c r="C36">
        <v>45</v>
      </c>
      <c r="D36">
        <v>2.8849666862689198</v>
      </c>
    </row>
    <row r="37" spans="1:4">
      <c r="A37" t="s">
        <v>50</v>
      </c>
      <c r="B37">
        <v>0.40500000000000003</v>
      </c>
      <c r="C37">
        <v>45</v>
      </c>
      <c r="D37">
        <v>3.1685183725681498</v>
      </c>
    </row>
    <row r="38" spans="1:4">
      <c r="A38" t="s">
        <v>51</v>
      </c>
      <c r="B38">
        <v>0.40500000000000003</v>
      </c>
      <c r="C38">
        <v>45</v>
      </c>
      <c r="D38">
        <v>3.3540961642224398</v>
      </c>
    </row>
    <row r="39" spans="1:4">
      <c r="A39" t="s">
        <v>52</v>
      </c>
      <c r="B39">
        <v>0.40500000000000003</v>
      </c>
      <c r="C39">
        <v>60</v>
      </c>
      <c r="D39">
        <v>2.3795679824428402</v>
      </c>
    </row>
    <row r="40" spans="1:4">
      <c r="A40" t="s">
        <v>53</v>
      </c>
      <c r="B40">
        <v>0.40500000000000003</v>
      </c>
      <c r="C40">
        <v>60</v>
      </c>
      <c r="D40">
        <v>2.6465022098007198</v>
      </c>
    </row>
    <row r="41" spans="1:4">
      <c r="A41" t="s">
        <v>54</v>
      </c>
      <c r="B41">
        <v>0.40500000000000003</v>
      </c>
      <c r="C41">
        <v>60</v>
      </c>
      <c r="D41">
        <v>2.8684795722262302</v>
      </c>
    </row>
    <row r="42" spans="1:4">
      <c r="A42" t="s">
        <v>55</v>
      </c>
      <c r="B42">
        <v>0.40500000000000003</v>
      </c>
      <c r="C42">
        <v>60</v>
      </c>
      <c r="D42">
        <v>3.07609777686165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2"/>
  <sheetViews>
    <sheetView workbookViewId="0">
      <selection activeCell="F47" sqref="F47"/>
    </sheetView>
  </sheetViews>
  <sheetFormatPr defaultColWidth="9" defaultRowHeight="14.5"/>
  <cols>
    <col min="2" max="2" width="12.7265625"/>
    <col min="9" max="9" width="12.7265625"/>
  </cols>
  <sheetData>
    <row r="1" spans="1:2">
      <c r="B1" t="s">
        <v>56</v>
      </c>
    </row>
    <row r="2" spans="1:2">
      <c r="A2" t="s">
        <v>11</v>
      </c>
      <c r="B2">
        <v>68.792248366870098</v>
      </c>
    </row>
    <row r="3" spans="1:2">
      <c r="A3" t="s">
        <v>12</v>
      </c>
      <c r="B3">
        <v>95.227869027229005</v>
      </c>
    </row>
    <row r="4" spans="1:2">
      <c r="A4" t="s">
        <v>13</v>
      </c>
      <c r="B4">
        <v>85.834869845202505</v>
      </c>
    </row>
    <row r="5" spans="1:2">
      <c r="A5" t="s">
        <v>14</v>
      </c>
      <c r="B5">
        <v>74.436054757622699</v>
      </c>
    </row>
    <row r="6" spans="1:2">
      <c r="A6" t="s">
        <v>15</v>
      </c>
      <c r="B6">
        <v>76.458726328786597</v>
      </c>
    </row>
    <row r="7" spans="1:2">
      <c r="A7" t="s">
        <v>16</v>
      </c>
      <c r="B7">
        <v>89.937900429376697</v>
      </c>
    </row>
    <row r="8" spans="1:2">
      <c r="A8" t="s">
        <v>17</v>
      </c>
      <c r="B8">
        <v>91.006472557305202</v>
      </c>
    </row>
    <row r="9" spans="1:2">
      <c r="A9" t="s">
        <v>18</v>
      </c>
      <c r="B9">
        <v>74.508223059507202</v>
      </c>
    </row>
    <row r="10" spans="1:2">
      <c r="A10" t="s">
        <v>19</v>
      </c>
      <c r="B10">
        <v>64.042460128640897</v>
      </c>
    </row>
    <row r="11" spans="1:2">
      <c r="A11" t="s">
        <v>20</v>
      </c>
      <c r="B11">
        <v>72.202214107961296</v>
      </c>
    </row>
    <row r="12" spans="1:2">
      <c r="A12" t="s">
        <v>21</v>
      </c>
      <c r="B12">
        <v>83.417984261853803</v>
      </c>
    </row>
    <row r="13" spans="1:2">
      <c r="A13" t="s">
        <v>22</v>
      </c>
      <c r="B13">
        <v>87.533420874816798</v>
      </c>
    </row>
    <row r="14" spans="1:2">
      <c r="A14" t="s">
        <v>23</v>
      </c>
      <c r="B14">
        <v>84.289941563696203</v>
      </c>
    </row>
    <row r="15" spans="1:2">
      <c r="A15" t="s">
        <v>24</v>
      </c>
      <c r="B15">
        <v>76.112824887145607</v>
      </c>
    </row>
    <row r="16" spans="1:2">
      <c r="A16" t="s">
        <v>25</v>
      </c>
      <c r="B16">
        <v>61.666107831374703</v>
      </c>
    </row>
    <row r="17" spans="1:2">
      <c r="A17" t="s">
        <v>26</v>
      </c>
      <c r="B17">
        <v>71.106521648932599</v>
      </c>
    </row>
    <row r="18" spans="1:2">
      <c r="A18" t="s">
        <v>27</v>
      </c>
      <c r="B18">
        <v>84.118867097040294</v>
      </c>
    </row>
    <row r="19" spans="1:2">
      <c r="A19" t="s">
        <v>28</v>
      </c>
      <c r="B19">
        <v>82.8327153259429</v>
      </c>
    </row>
    <row r="20" spans="1:2">
      <c r="A20" t="s">
        <v>29</v>
      </c>
      <c r="B20">
        <v>80.248057769104705</v>
      </c>
    </row>
    <row r="21" spans="1:2">
      <c r="A21" t="s">
        <v>30</v>
      </c>
      <c r="B21">
        <v>67.081157117608399</v>
      </c>
    </row>
    <row r="22" spans="1:2">
      <c r="A22" t="s">
        <v>31</v>
      </c>
      <c r="B22">
        <v>62.619315465514099</v>
      </c>
    </row>
    <row r="23" spans="1:2">
      <c r="A23" t="s">
        <v>32</v>
      </c>
      <c r="B23">
        <v>52.391402307137596</v>
      </c>
    </row>
    <row r="24" spans="1:2">
      <c r="A24" t="s">
        <v>33</v>
      </c>
      <c r="B24">
        <v>57.634008057409901</v>
      </c>
    </row>
    <row r="25" spans="1:2">
      <c r="A25" t="s">
        <v>34</v>
      </c>
      <c r="B25">
        <v>72.208643800062006</v>
      </c>
    </row>
    <row r="26" spans="1:2">
      <c r="A26" t="s">
        <v>35</v>
      </c>
      <c r="B26">
        <v>63.166997567790801</v>
      </c>
    </row>
    <row r="27" spans="1:2">
      <c r="A27" t="s">
        <v>36</v>
      </c>
      <c r="B27">
        <v>37.290492844688899</v>
      </c>
    </row>
    <row r="28" spans="1:2">
      <c r="A28" t="s">
        <v>37</v>
      </c>
      <c r="B28">
        <v>64.042460128640897</v>
      </c>
    </row>
    <row r="29" spans="1:2">
      <c r="A29" t="s">
        <v>38</v>
      </c>
      <c r="B29">
        <v>72.202214107961296</v>
      </c>
    </row>
    <row r="30" spans="1:2">
      <c r="A30" t="s">
        <v>39</v>
      </c>
      <c r="B30">
        <v>83.417984261853803</v>
      </c>
    </row>
    <row r="31" spans="1:2">
      <c r="A31" t="s">
        <v>40</v>
      </c>
      <c r="B31">
        <v>87.533420874816798</v>
      </c>
    </row>
    <row r="32" spans="1:2">
      <c r="A32" t="s">
        <v>41</v>
      </c>
      <c r="B32">
        <v>84.289941563696203</v>
      </c>
    </row>
    <row r="33" spans="1:2">
      <c r="A33" t="s">
        <v>42</v>
      </c>
      <c r="B33">
        <v>76.112824887145607</v>
      </c>
    </row>
    <row r="34" spans="1:2">
      <c r="A34" t="s">
        <v>43</v>
      </c>
      <c r="B34">
        <v>70.666729306386202</v>
      </c>
    </row>
    <row r="35" spans="1:2">
      <c r="A35" t="s">
        <v>44</v>
      </c>
      <c r="B35">
        <v>82.380955344654694</v>
      </c>
    </row>
    <row r="36" spans="1:2">
      <c r="A36" t="s">
        <v>49</v>
      </c>
      <c r="B36">
        <v>90.907886475493896</v>
      </c>
    </row>
    <row r="37" spans="1:2">
      <c r="A37" t="s">
        <v>50</v>
      </c>
      <c r="B37">
        <v>86.329053658103703</v>
      </c>
    </row>
    <row r="38" spans="1:2">
      <c r="A38" t="s">
        <v>51</v>
      </c>
      <c r="B38">
        <v>78.892212941591595</v>
      </c>
    </row>
    <row r="39" spans="1:2">
      <c r="A39" t="s">
        <v>52</v>
      </c>
      <c r="B39">
        <v>67.6586466083603</v>
      </c>
    </row>
    <row r="40" spans="1:2">
      <c r="A40" t="s">
        <v>53</v>
      </c>
      <c r="B40">
        <v>92.386603800462495</v>
      </c>
    </row>
    <row r="41" spans="1:2">
      <c r="A41" t="s">
        <v>54</v>
      </c>
      <c r="B41">
        <v>89.436665759910099</v>
      </c>
    </row>
    <row r="42" spans="1:2">
      <c r="A42" t="s">
        <v>55</v>
      </c>
      <c r="B42">
        <v>86.655968707190297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2"/>
  <sheetViews>
    <sheetView topLeftCell="A19" workbookViewId="0">
      <selection activeCell="B2" sqref="B2:B42"/>
    </sheetView>
  </sheetViews>
  <sheetFormatPr defaultColWidth="9" defaultRowHeight="14.5"/>
  <cols>
    <col min="2" max="2" width="12.7265625"/>
  </cols>
  <sheetData>
    <row r="1" spans="1:2">
      <c r="B1" t="s">
        <v>56</v>
      </c>
    </row>
    <row r="2" spans="1:2">
      <c r="A2" t="s">
        <v>11</v>
      </c>
      <c r="B2">
        <v>0.64947850813847896</v>
      </c>
    </row>
    <row r="3" spans="1:2">
      <c r="A3" t="s">
        <v>12</v>
      </c>
      <c r="B3">
        <v>3.1471088477870102</v>
      </c>
    </row>
    <row r="4" spans="1:2">
      <c r="A4" t="s">
        <v>13</v>
      </c>
      <c r="B4">
        <v>6.3945680221623604</v>
      </c>
    </row>
    <row r="5" spans="1:2">
      <c r="A5" t="s">
        <v>14</v>
      </c>
      <c r="B5">
        <v>16.54031254529</v>
      </c>
    </row>
    <row r="6" spans="1:2">
      <c r="A6" t="s">
        <v>15</v>
      </c>
      <c r="B6">
        <v>0.79850474015363204</v>
      </c>
    </row>
    <row r="7" spans="1:2">
      <c r="A7" t="s">
        <v>16</v>
      </c>
      <c r="B7">
        <v>3.2952688419232401</v>
      </c>
    </row>
    <row r="8" spans="1:2">
      <c r="A8" t="s">
        <v>17</v>
      </c>
      <c r="B8">
        <v>10.735385983937899</v>
      </c>
    </row>
    <row r="9" spans="1:2">
      <c r="A9" t="s">
        <v>18</v>
      </c>
      <c r="B9">
        <v>21.775521117046999</v>
      </c>
    </row>
    <row r="10" spans="1:2">
      <c r="A10" t="s">
        <v>19</v>
      </c>
      <c r="B10">
        <v>0.94839721004769395</v>
      </c>
    </row>
    <row r="11" spans="1:2">
      <c r="A11" t="s">
        <v>20</v>
      </c>
      <c r="B11">
        <v>1.79717706401998</v>
      </c>
    </row>
    <row r="12" spans="1:2">
      <c r="A12" t="s">
        <v>21</v>
      </c>
      <c r="B12">
        <v>4.09314056208843</v>
      </c>
    </row>
    <row r="13" spans="1:2">
      <c r="A13" t="s">
        <v>22</v>
      </c>
      <c r="B13">
        <v>7.73697019975112</v>
      </c>
    </row>
    <row r="14" spans="1:2">
      <c r="A14" t="s">
        <v>23</v>
      </c>
      <c r="B14">
        <v>14.6260934170918</v>
      </c>
    </row>
    <row r="15" spans="1:2">
      <c r="A15" t="s">
        <v>24</v>
      </c>
      <c r="B15">
        <v>19.619721571155601</v>
      </c>
    </row>
    <row r="16" spans="1:2">
      <c r="A16" t="s">
        <v>25</v>
      </c>
      <c r="B16">
        <v>0.69858753250474503</v>
      </c>
    </row>
    <row r="17" spans="1:2">
      <c r="A17" t="s">
        <v>26</v>
      </c>
      <c r="B17">
        <v>3.2927367619694898</v>
      </c>
    </row>
    <row r="18" spans="1:2">
      <c r="A18" t="s">
        <v>27</v>
      </c>
      <c r="B18">
        <v>5.7375265910041202</v>
      </c>
    </row>
    <row r="19" spans="1:2">
      <c r="A19" t="s">
        <v>28</v>
      </c>
      <c r="B19">
        <v>11.8741556262983</v>
      </c>
    </row>
    <row r="20" spans="1:2">
      <c r="A20" t="s">
        <v>29</v>
      </c>
      <c r="B20">
        <v>22.301494093756901</v>
      </c>
    </row>
    <row r="21" spans="1:2">
      <c r="A21" t="s">
        <v>30</v>
      </c>
      <c r="B21">
        <v>37.121791379933597</v>
      </c>
    </row>
    <row r="22" spans="1:2">
      <c r="A22" t="s">
        <v>31</v>
      </c>
      <c r="B22">
        <v>39.118736225568298</v>
      </c>
    </row>
    <row r="23" spans="1:2">
      <c r="A23" t="s">
        <v>32</v>
      </c>
      <c r="B23">
        <v>2.7442082835663002</v>
      </c>
    </row>
    <row r="24" spans="1:2">
      <c r="A24" t="s">
        <v>33</v>
      </c>
      <c r="B24">
        <v>17.509832632846699</v>
      </c>
    </row>
    <row r="25" spans="1:2">
      <c r="A25" t="s">
        <v>34</v>
      </c>
      <c r="B25">
        <v>33.970884412215902</v>
      </c>
    </row>
    <row r="26" spans="1:2">
      <c r="A26" t="s">
        <v>35</v>
      </c>
      <c r="B26">
        <v>43.250257789061003</v>
      </c>
    </row>
    <row r="27" spans="1:2">
      <c r="A27" t="s">
        <v>36</v>
      </c>
      <c r="B27">
        <v>42.4082412539126</v>
      </c>
    </row>
    <row r="28" spans="1:2">
      <c r="A28" t="s">
        <v>37</v>
      </c>
      <c r="B28">
        <v>0.87921580607950001</v>
      </c>
    </row>
    <row r="29" spans="1:2">
      <c r="A29" t="s">
        <v>38</v>
      </c>
      <c r="B29">
        <v>1.8068643304486101</v>
      </c>
    </row>
    <row r="30" spans="1:2">
      <c r="A30" t="s">
        <v>39</v>
      </c>
      <c r="B30">
        <v>3.8773827896613602</v>
      </c>
    </row>
    <row r="31" spans="1:2">
      <c r="A31" t="s">
        <v>40</v>
      </c>
      <c r="B31">
        <v>7.5736761987031898</v>
      </c>
    </row>
    <row r="32" spans="1:2">
      <c r="A32" t="s">
        <v>41</v>
      </c>
      <c r="B32">
        <v>14.6868860316774</v>
      </c>
    </row>
    <row r="33" spans="1:2">
      <c r="A33" t="s">
        <v>42</v>
      </c>
      <c r="B33">
        <v>19.522414946457999</v>
      </c>
    </row>
    <row r="34" spans="1:2">
      <c r="A34" t="s">
        <v>43</v>
      </c>
      <c r="B34">
        <v>1.2526138919468399</v>
      </c>
    </row>
    <row r="35" spans="1:2">
      <c r="A35" t="s">
        <v>44</v>
      </c>
      <c r="B35">
        <v>9.6197017661218496</v>
      </c>
    </row>
    <row r="36" spans="1:2">
      <c r="A36" t="s">
        <v>49</v>
      </c>
      <c r="B36">
        <v>26.709577510784701</v>
      </c>
    </row>
    <row r="37" spans="1:2">
      <c r="A37" t="s">
        <v>50</v>
      </c>
      <c r="B37">
        <v>30.361151639970299</v>
      </c>
    </row>
    <row r="38" spans="1:2">
      <c r="A38" t="s">
        <v>51</v>
      </c>
      <c r="B38">
        <v>30.8083444385333</v>
      </c>
    </row>
    <row r="39" spans="1:2">
      <c r="A39" t="s">
        <v>52</v>
      </c>
      <c r="B39">
        <v>1.68605906737388</v>
      </c>
    </row>
    <row r="40" spans="1:2">
      <c r="A40" t="s">
        <v>53</v>
      </c>
      <c r="B40">
        <v>11.461883266350901</v>
      </c>
    </row>
    <row r="41" spans="1:2">
      <c r="A41" t="s">
        <v>54</v>
      </c>
      <c r="B41">
        <v>30.989986884451401</v>
      </c>
    </row>
    <row r="42" spans="1:2">
      <c r="A42" t="s">
        <v>55</v>
      </c>
      <c r="B42">
        <v>40.219382568435201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3"/>
  <sheetViews>
    <sheetView zoomScale="85" zoomScaleNormal="85" workbookViewId="0">
      <selection activeCell="U2" sqref="U2"/>
    </sheetView>
  </sheetViews>
  <sheetFormatPr defaultColWidth="9" defaultRowHeight="14.5"/>
  <cols>
    <col min="1" max="2" width="9" style="25"/>
    <col min="3" max="3" width="12" style="25" bestFit="1" customWidth="1"/>
    <col min="4" max="4" width="9" style="25"/>
    <col min="5" max="8" width="12.7265625" style="25"/>
    <col min="9" max="10" width="9" style="25"/>
    <col min="11" max="11" width="12.7265625" style="25"/>
    <col min="12" max="12" width="9" style="25"/>
    <col min="13" max="14" width="9" style="25" customWidth="1"/>
    <col min="15" max="15" width="9" style="25"/>
    <col min="16" max="16" width="11.1796875" style="25" bestFit="1" customWidth="1"/>
    <col min="17" max="16384" width="9" style="25"/>
  </cols>
  <sheetData>
    <row r="1" spans="1:19">
      <c r="A1" s="25" t="s">
        <v>74</v>
      </c>
      <c r="B1" s="31" t="s">
        <v>62</v>
      </c>
      <c r="C1" s="31" t="s">
        <v>71</v>
      </c>
      <c r="D1" s="42" t="s">
        <v>66</v>
      </c>
      <c r="E1" s="37" t="s">
        <v>63</v>
      </c>
      <c r="F1" s="37" t="s">
        <v>64</v>
      </c>
      <c r="G1" s="31" t="s">
        <v>59</v>
      </c>
      <c r="H1" s="32" t="s">
        <v>65</v>
      </c>
      <c r="I1" s="32" t="s">
        <v>65</v>
      </c>
      <c r="J1" s="25" t="s">
        <v>8</v>
      </c>
      <c r="K1" s="30" t="s">
        <v>9</v>
      </c>
      <c r="L1" s="31" t="s">
        <v>70</v>
      </c>
      <c r="M1" s="31" t="s">
        <v>62</v>
      </c>
      <c r="N1" s="31" t="s">
        <v>66</v>
      </c>
      <c r="O1" s="25" t="s">
        <v>63</v>
      </c>
      <c r="P1" s="25" t="s">
        <v>7</v>
      </c>
      <c r="Q1" s="25" t="s">
        <v>60</v>
      </c>
      <c r="S1" s="40"/>
    </row>
    <row r="2" spans="1:19">
      <c r="B2" s="25">
        <v>160</v>
      </c>
      <c r="D2" s="20">
        <v>25</v>
      </c>
      <c r="E2" s="38">
        <v>2.3807775377969702</v>
      </c>
      <c r="F2" s="38">
        <v>3.5121801515932098</v>
      </c>
      <c r="G2" s="20">
        <v>6.2022239377166102</v>
      </c>
      <c r="H2" s="20">
        <v>0.34167173102507298</v>
      </c>
      <c r="I2" s="20">
        <f>H2/100</f>
        <v>3.4167173102507297E-3</v>
      </c>
      <c r="K2" s="25">
        <f>F2/G2</f>
        <v>0.56627754606458824</v>
      </c>
      <c r="M2" s="25">
        <v>80</v>
      </c>
      <c r="N2" s="25">
        <v>60</v>
      </c>
      <c r="O2" s="33">
        <v>2.3765724703737399</v>
      </c>
      <c r="P2" s="33">
        <v>1.8270475719604901E-2</v>
      </c>
      <c r="Q2" s="25">
        <v>8.5130520070000006</v>
      </c>
    </row>
    <row r="3" spans="1:19">
      <c r="B3" s="25">
        <v>160</v>
      </c>
      <c r="D3" s="20">
        <v>25</v>
      </c>
      <c r="E3" s="38">
        <v>2.6684665226781799</v>
      </c>
      <c r="F3" s="38">
        <v>21.683715597658299</v>
      </c>
      <c r="G3" s="20">
        <v>29.984232051639999</v>
      </c>
      <c r="H3" s="20">
        <v>3.1674851764860299</v>
      </c>
      <c r="I3" s="20">
        <f t="shared" ref="I3:I35" si="0">H3/100</f>
        <v>3.1674851764860297E-2</v>
      </c>
      <c r="K3" s="25">
        <f t="shared" ref="K3:K8" si="1">F3/G3</f>
        <v>0.7231706171535015</v>
      </c>
      <c r="M3" s="25">
        <v>80</v>
      </c>
      <c r="N3" s="25">
        <v>60</v>
      </c>
      <c r="O3" s="33">
        <v>2.6486782133090201</v>
      </c>
      <c r="P3" s="33">
        <v>0.113740710412063</v>
      </c>
      <c r="Q3" s="25">
        <v>50.822417719999997</v>
      </c>
    </row>
    <row r="4" spans="1:19">
      <c r="B4" s="25">
        <v>160</v>
      </c>
      <c r="D4" s="20">
        <v>25</v>
      </c>
      <c r="E4" s="38">
        <v>2.9503239740820701</v>
      </c>
      <c r="F4" s="38">
        <v>53.731058083717897</v>
      </c>
      <c r="G4" s="20">
        <v>63.412282574774501</v>
      </c>
      <c r="H4" s="20">
        <v>6.3338863065223299</v>
      </c>
      <c r="I4" s="20">
        <f t="shared" si="0"/>
        <v>6.3338863065223294E-2</v>
      </c>
      <c r="K4" s="25">
        <f t="shared" si="1"/>
        <v>0.84732887544868463</v>
      </c>
      <c r="M4" s="25">
        <v>80</v>
      </c>
      <c r="N4" s="25">
        <v>60</v>
      </c>
      <c r="O4" s="33">
        <v>2.87155879671832</v>
      </c>
      <c r="P4" s="33">
        <v>0.30957217681504201</v>
      </c>
      <c r="Q4" s="25">
        <v>137.28053729999999</v>
      </c>
    </row>
    <row r="5" spans="1:19">
      <c r="B5" s="25">
        <v>160</v>
      </c>
      <c r="D5" s="20">
        <v>25</v>
      </c>
      <c r="E5" s="38">
        <v>3.1699784017278598</v>
      </c>
      <c r="F5" s="38">
        <v>167.895141257332</v>
      </c>
      <c r="G5" s="20">
        <v>189.531232035215</v>
      </c>
      <c r="H5" s="20">
        <v>16.254882315260399</v>
      </c>
      <c r="I5" s="20">
        <f t="shared" si="0"/>
        <v>0.16254882315260399</v>
      </c>
      <c r="K5" s="25">
        <f>F5/G5</f>
        <v>0.8858441928248374</v>
      </c>
      <c r="M5" s="25">
        <v>80</v>
      </c>
      <c r="N5" s="25">
        <v>60</v>
      </c>
      <c r="O5" s="33">
        <v>3.0821330902461201</v>
      </c>
      <c r="P5" s="33">
        <v>0.400324459620227</v>
      </c>
      <c r="Q5" s="25">
        <v>177.69164409999999</v>
      </c>
    </row>
    <row r="6" spans="1:19">
      <c r="B6" s="25">
        <v>160</v>
      </c>
      <c r="D6" s="20">
        <v>25</v>
      </c>
      <c r="E6" s="38">
        <v>3.4187904967602498</v>
      </c>
      <c r="F6" s="38">
        <v>179.80619459290401</v>
      </c>
      <c r="G6" s="20">
        <v>206.06441863902799</v>
      </c>
      <c r="H6" s="20">
        <v>16.3359886996369</v>
      </c>
      <c r="I6" s="20">
        <f t="shared" si="0"/>
        <v>0.163359886996369</v>
      </c>
      <c r="K6" s="25">
        <f t="shared" si="1"/>
        <v>0.87257274099260362</v>
      </c>
      <c r="M6" s="25">
        <v>80</v>
      </c>
      <c r="N6" s="25">
        <v>60</v>
      </c>
      <c r="O6" s="33">
        <v>3.26262534184138</v>
      </c>
      <c r="P6" s="33">
        <v>0.37312423713363002</v>
      </c>
      <c r="Q6" s="25">
        <v>165.91319999999999</v>
      </c>
    </row>
    <row r="7" spans="1:19">
      <c r="B7" s="25">
        <v>160</v>
      </c>
      <c r="D7" s="20">
        <v>25</v>
      </c>
      <c r="E7" s="38">
        <v>3.64816414686825</v>
      </c>
      <c r="F7" s="38">
        <v>139.35778435312301</v>
      </c>
      <c r="G7" s="20">
        <v>209.85020449058001</v>
      </c>
      <c r="H7" s="20">
        <v>15.8198840398797</v>
      </c>
      <c r="I7" s="20">
        <f t="shared" si="0"/>
        <v>0.158198840398797</v>
      </c>
      <c r="K7" s="25">
        <f t="shared" si="1"/>
        <v>0.66408219468463114</v>
      </c>
      <c r="M7" s="25">
        <v>80</v>
      </c>
      <c r="N7" s="25">
        <v>45</v>
      </c>
      <c r="O7" s="25">
        <v>2.3779398359999999</v>
      </c>
      <c r="P7" s="25">
        <v>1.2846129E-2</v>
      </c>
      <c r="Q7" s="33">
        <v>5.20748173986658</v>
      </c>
    </row>
    <row r="8" spans="1:19">
      <c r="B8" s="25">
        <v>160</v>
      </c>
      <c r="D8" s="20">
        <v>25</v>
      </c>
      <c r="E8" s="38">
        <v>3.8386609071274198</v>
      </c>
      <c r="F8" s="38">
        <v>142.603315595342</v>
      </c>
      <c r="G8" s="20">
        <v>264.64333229308602</v>
      </c>
      <c r="H8" s="35">
        <v>20.782747236502701</v>
      </c>
      <c r="I8" s="20">
        <f t="shared" si="0"/>
        <v>0.20782747236502699</v>
      </c>
      <c r="K8" s="25">
        <f t="shared" si="1"/>
        <v>0.53885096729893167</v>
      </c>
      <c r="M8" s="25">
        <v>80</v>
      </c>
      <c r="N8" s="25">
        <v>45</v>
      </c>
      <c r="O8" s="25">
        <v>2.658249772</v>
      </c>
      <c r="P8" s="25">
        <v>9.6109265999999999E-2</v>
      </c>
      <c r="Q8" s="33">
        <v>42.796445840535497</v>
      </c>
    </row>
    <row r="9" spans="1:19">
      <c r="B9" s="20">
        <v>120</v>
      </c>
      <c r="C9" s="20"/>
      <c r="D9" s="20">
        <v>25</v>
      </c>
      <c r="E9" s="38">
        <v>2.38660907127429</v>
      </c>
      <c r="F9" s="38">
        <v>1.3044696263441</v>
      </c>
      <c r="G9" s="20">
        <v>2.0710214674046901</v>
      </c>
      <c r="H9" s="20">
        <v>0.68620140269039998</v>
      </c>
      <c r="I9" s="20">
        <f t="shared" si="0"/>
        <v>6.8620140269039995E-3</v>
      </c>
      <c r="K9" s="25">
        <f t="shared" ref="K9:K14" si="2">F9/G9</f>
        <v>0.62986774732895556</v>
      </c>
      <c r="M9" s="25">
        <v>80</v>
      </c>
      <c r="N9" s="25">
        <v>45</v>
      </c>
      <c r="O9" s="25">
        <v>2.8879671830000002</v>
      </c>
      <c r="P9" s="25">
        <v>0.26685289600000001</v>
      </c>
      <c r="Q9" s="33">
        <v>119.10151226885399</v>
      </c>
    </row>
    <row r="10" spans="1:19">
      <c r="B10" s="20">
        <v>120</v>
      </c>
      <c r="C10" s="20"/>
      <c r="D10" s="20">
        <v>25</v>
      </c>
      <c r="E10" s="38">
        <v>2.6820734341252699</v>
      </c>
      <c r="F10" s="38">
        <v>5.3023642290922002</v>
      </c>
      <c r="G10" s="20">
        <v>7.2399520391570702</v>
      </c>
      <c r="H10" s="20">
        <v>1.11390700195457</v>
      </c>
      <c r="I10" s="20">
        <f t="shared" si="0"/>
        <v>1.1139070019545701E-2</v>
      </c>
      <c r="K10" s="25">
        <f t="shared" si="2"/>
        <v>0.73237560144245673</v>
      </c>
      <c r="M10" s="25">
        <v>80</v>
      </c>
      <c r="N10" s="25">
        <v>45</v>
      </c>
      <c r="O10" s="25">
        <v>3.1669097540000002</v>
      </c>
      <c r="P10" s="25">
        <v>0.302659024</v>
      </c>
      <c r="Q10" s="33">
        <v>134.49406082378201</v>
      </c>
    </row>
    <row r="11" spans="1:19">
      <c r="B11" s="20">
        <v>120</v>
      </c>
      <c r="C11" s="20"/>
      <c r="D11" s="20">
        <v>25</v>
      </c>
      <c r="E11" s="38">
        <v>2.9619870410367102</v>
      </c>
      <c r="F11" s="38">
        <v>20.7971383737022</v>
      </c>
      <c r="G11" s="20">
        <v>23.028037383177502</v>
      </c>
      <c r="H11" s="20">
        <v>2.99837393032537</v>
      </c>
      <c r="I11" s="20">
        <f t="shared" si="0"/>
        <v>2.9983739303253699E-2</v>
      </c>
      <c r="K11" s="25">
        <f t="shared" si="2"/>
        <v>0.90312248619567448</v>
      </c>
      <c r="M11" s="25">
        <v>80</v>
      </c>
      <c r="N11" s="25">
        <v>45</v>
      </c>
      <c r="O11" s="25">
        <v>3.3583409299999998</v>
      </c>
      <c r="P11" s="25">
        <v>0.305962332</v>
      </c>
      <c r="Q11" s="33">
        <v>136.884986136371</v>
      </c>
    </row>
    <row r="12" spans="1:19">
      <c r="B12" s="20">
        <v>120</v>
      </c>
      <c r="C12" s="20"/>
      <c r="D12" s="20">
        <v>25</v>
      </c>
      <c r="E12" s="38">
        <v>3.2146868250539899</v>
      </c>
      <c r="F12" s="38">
        <v>65.797138373702197</v>
      </c>
      <c r="G12" s="20">
        <v>73.425422531741205</v>
      </c>
      <c r="H12" s="20">
        <v>10.6228668101111</v>
      </c>
      <c r="I12" s="20">
        <f t="shared" si="0"/>
        <v>0.10622866810111101</v>
      </c>
      <c r="K12" s="25">
        <f t="shared" si="2"/>
        <v>0.89610840639369338</v>
      </c>
      <c r="M12" s="25">
        <v>80</v>
      </c>
      <c r="N12" s="25">
        <v>25</v>
      </c>
      <c r="O12" s="33">
        <v>2.46681859617137</v>
      </c>
      <c r="P12" s="33">
        <v>9.4161271881711903E-3</v>
      </c>
      <c r="Q12" s="25">
        <v>4.27758196</v>
      </c>
    </row>
    <row r="13" spans="1:19">
      <c r="B13" s="20">
        <v>120</v>
      </c>
      <c r="C13" s="20"/>
      <c r="D13" s="20">
        <v>25</v>
      </c>
      <c r="E13" s="38">
        <v>3.4596112311015101</v>
      </c>
      <c r="F13" s="38">
        <v>134.19938737340601</v>
      </c>
      <c r="G13" s="20">
        <v>180.951497133846</v>
      </c>
      <c r="H13" s="20">
        <v>21.665062496920299</v>
      </c>
      <c r="I13" s="20">
        <f t="shared" si="0"/>
        <v>0.21665062496920298</v>
      </c>
      <c r="K13" s="25">
        <f t="shared" si="2"/>
        <v>0.74163181570220205</v>
      </c>
      <c r="M13" s="25">
        <v>80</v>
      </c>
      <c r="N13" s="25">
        <v>25</v>
      </c>
      <c r="O13" s="33">
        <v>2.5488605287146702</v>
      </c>
      <c r="P13" s="33">
        <v>1.8870571512445301E-2</v>
      </c>
      <c r="Q13" s="25">
        <v>7.1237886110000002</v>
      </c>
    </row>
    <row r="14" spans="1:19">
      <c r="B14" s="20">
        <v>120</v>
      </c>
      <c r="C14" s="20"/>
      <c r="D14" s="20">
        <v>25</v>
      </c>
      <c r="E14" s="38">
        <v>3.7084233261339001</v>
      </c>
      <c r="F14" s="38">
        <v>143.083052015356</v>
      </c>
      <c r="G14" s="20">
        <v>270.51147282492599</v>
      </c>
      <c r="H14" s="20">
        <v>23.012827882988599</v>
      </c>
      <c r="I14" s="20">
        <f t="shared" si="0"/>
        <v>0.23012827882988598</v>
      </c>
      <c r="K14" s="25">
        <f t="shared" si="2"/>
        <v>0.52893524448761109</v>
      </c>
      <c r="M14" s="25">
        <v>80</v>
      </c>
      <c r="N14" s="25">
        <v>25</v>
      </c>
      <c r="O14" s="33">
        <v>2.6979033728349999</v>
      </c>
      <c r="P14" s="33">
        <v>3.9142190565950197E-2</v>
      </c>
      <c r="Q14" s="25">
        <v>17.53703324</v>
      </c>
    </row>
    <row r="15" spans="1:19">
      <c r="B15" s="41">
        <v>80</v>
      </c>
      <c r="C15" s="30">
        <f>B15/1738800</f>
        <v>4.6008741660915574E-5</v>
      </c>
      <c r="D15" s="20">
        <v>25</v>
      </c>
      <c r="E15" s="38">
        <v>2.47213822894168</v>
      </c>
      <c r="F15" s="38">
        <v>2.5214980978465298</v>
      </c>
      <c r="G15" s="20">
        <v>3.1043148333689001</v>
      </c>
      <c r="H15" s="20">
        <v>0.68590575365865902</v>
      </c>
      <c r="I15" s="35">
        <f>H15/100</f>
        <v>6.8590575365865903E-3</v>
      </c>
      <c r="J15" s="40">
        <f>L15*2*96485*1000/F15/25</f>
        <v>0.96604185833474021</v>
      </c>
      <c r="K15" s="25">
        <f>F15/G15</f>
        <v>0.81225591900101213</v>
      </c>
      <c r="L15" s="25">
        <f>I15*C15</f>
        <v>3.155766062381684E-7</v>
      </c>
      <c r="M15" s="25">
        <v>80</v>
      </c>
      <c r="N15" s="25">
        <v>25</v>
      </c>
      <c r="O15" s="33">
        <v>2.8496809480401</v>
      </c>
      <c r="P15" s="33">
        <v>7.5005793921789701E-2</v>
      </c>
      <c r="Q15" s="25">
        <v>33.144653339999998</v>
      </c>
    </row>
    <row r="16" spans="1:19">
      <c r="B16" s="41">
        <v>80</v>
      </c>
      <c r="C16" s="30">
        <f t="shared" ref="C16:C17" si="3">B16/1738800</f>
        <v>4.6008741660915574E-5</v>
      </c>
      <c r="D16" s="20">
        <v>25</v>
      </c>
      <c r="E16" s="38">
        <v>2.5498920086393002</v>
      </c>
      <c r="F16" s="38">
        <v>6.4864301472504096</v>
      </c>
      <c r="G16" s="20">
        <v>7.5873396514626199</v>
      </c>
      <c r="H16" s="20">
        <v>1.6288290655847899</v>
      </c>
      <c r="I16" s="35">
        <f t="shared" si="0"/>
        <v>1.6288290655847901E-2</v>
      </c>
      <c r="J16" s="40">
        <f t="shared" ref="J16:J22" si="4">L16*2*96485*1000/F16/25</f>
        <v>0.89178447733366639</v>
      </c>
      <c r="K16" s="25">
        <f t="shared" ref="K16:K22" si="5">F16/G16</f>
        <v>0.85490177654034682</v>
      </c>
      <c r="L16" s="25">
        <f t="shared" ref="L16:L22" si="6">I16*C16</f>
        <v>7.4940375688281114E-7</v>
      </c>
      <c r="M16" s="25">
        <v>80</v>
      </c>
      <c r="N16" s="25">
        <v>25</v>
      </c>
      <c r="O16" s="33">
        <v>3.0288058340929802</v>
      </c>
      <c r="P16" s="33">
        <v>0.14475534199588999</v>
      </c>
      <c r="Q16" s="25">
        <v>64.105503229999997</v>
      </c>
    </row>
    <row r="17" spans="2:18">
      <c r="B17" s="41">
        <v>80</v>
      </c>
      <c r="C17" s="30">
        <f t="shared" si="3"/>
        <v>4.6008741660915574E-5</v>
      </c>
      <c r="D17" s="20">
        <v>25</v>
      </c>
      <c r="E17" s="38">
        <v>2.70539956803455</v>
      </c>
      <c r="F17" s="38">
        <v>16.429162878765901</v>
      </c>
      <c r="G17" s="20">
        <v>18.278501387907902</v>
      </c>
      <c r="H17" s="20">
        <v>4.0292035543583502</v>
      </c>
      <c r="I17" s="35">
        <f t="shared" si="0"/>
        <v>4.0292035543583501E-2</v>
      </c>
      <c r="J17" s="40">
        <f t="shared" si="4"/>
        <v>0.87095139039598746</v>
      </c>
      <c r="K17" s="25">
        <f t="shared" si="5"/>
        <v>0.8988243910211684</v>
      </c>
      <c r="L17" s="25">
        <f t="shared" si="6"/>
        <v>1.8537858543171614E-6</v>
      </c>
      <c r="M17" s="25">
        <v>80</v>
      </c>
      <c r="N17" s="25">
        <v>25</v>
      </c>
      <c r="O17" s="33">
        <v>3.1901549680948</v>
      </c>
      <c r="P17" s="33">
        <v>0.196207839562443</v>
      </c>
      <c r="Q17" s="25">
        <v>87.036084110000004</v>
      </c>
    </row>
    <row r="18" spans="2:18">
      <c r="B18" s="41">
        <v>80</v>
      </c>
      <c r="C18" s="30">
        <f>B18/1738800</f>
        <v>4.6008741660915574E-5</v>
      </c>
      <c r="D18" s="20">
        <v>25</v>
      </c>
      <c r="E18" s="38">
        <v>2.8570194384449201</v>
      </c>
      <c r="F18" s="38">
        <v>32.805632922020401</v>
      </c>
      <c r="G18" s="20">
        <v>36.897491910713903</v>
      </c>
      <c r="H18" s="20">
        <v>7.45735262717014</v>
      </c>
      <c r="I18" s="35">
        <f t="shared" si="0"/>
        <v>7.4573526271701399E-2</v>
      </c>
      <c r="J18" s="40">
        <f t="shared" si="4"/>
        <v>0.80728410613072155</v>
      </c>
      <c r="K18" s="25">
        <f t="shared" si="5"/>
        <v>0.88910197477391817</v>
      </c>
      <c r="L18" s="25">
        <f t="shared" si="6"/>
        <v>3.4310341049782103E-6</v>
      </c>
      <c r="M18" s="25">
        <v>80</v>
      </c>
      <c r="N18" s="25">
        <v>25</v>
      </c>
      <c r="O18" s="33">
        <v>3.377484047402</v>
      </c>
      <c r="P18" s="33">
        <v>0.22052995071303799</v>
      </c>
      <c r="Q18" s="25">
        <v>98.63576741</v>
      </c>
    </row>
    <row r="19" spans="2:18">
      <c r="B19" s="41">
        <v>80</v>
      </c>
      <c r="C19" s="30">
        <f t="shared" ref="C19:C20" si="7">B19/1738800</f>
        <v>4.6008741660915574E-5</v>
      </c>
      <c r="D19" s="20">
        <v>25</v>
      </c>
      <c r="E19" s="38">
        <v>3.0319654427645699</v>
      </c>
      <c r="F19" s="38">
        <v>63.1265959849217</v>
      </c>
      <c r="G19" s="20">
        <v>74.4803968267003</v>
      </c>
      <c r="H19" s="20">
        <v>14.399388992001001</v>
      </c>
      <c r="I19" s="35">
        <f t="shared" si="0"/>
        <v>0.14399388992001</v>
      </c>
      <c r="J19" s="40">
        <f t="shared" si="4"/>
        <v>0.81006867128799398</v>
      </c>
      <c r="K19" s="25">
        <f t="shared" si="5"/>
        <v>0.84755987715537517</v>
      </c>
      <c r="L19" s="25">
        <f t="shared" si="6"/>
        <v>6.624977682080055E-6</v>
      </c>
      <c r="M19" s="25">
        <v>80</v>
      </c>
      <c r="N19" s="25">
        <v>25</v>
      </c>
      <c r="O19" s="33">
        <v>3.6099361896080202</v>
      </c>
      <c r="P19" s="33">
        <v>0.175679124886052</v>
      </c>
      <c r="Q19" s="25">
        <v>77.656729900000002</v>
      </c>
    </row>
    <row r="20" spans="2:18">
      <c r="B20" s="41">
        <v>80</v>
      </c>
      <c r="C20" s="30">
        <f t="shared" si="7"/>
        <v>4.6008741660915574E-5</v>
      </c>
      <c r="D20" s="20">
        <v>25</v>
      </c>
      <c r="E20" s="38">
        <v>3.1952483801295801</v>
      </c>
      <c r="F20" s="38">
        <v>85.939119508508995</v>
      </c>
      <c r="G20" s="20">
        <v>112.395906903404</v>
      </c>
      <c r="H20" s="20">
        <v>19.281244353924698</v>
      </c>
      <c r="I20" s="35">
        <f t="shared" si="0"/>
        <v>0.19281244353924698</v>
      </c>
      <c r="J20" s="40">
        <f t="shared" si="4"/>
        <v>0.79677243773862971</v>
      </c>
      <c r="K20" s="25">
        <f t="shared" si="5"/>
        <v>0.76461075742168561</v>
      </c>
      <c r="L20" s="25">
        <f t="shared" si="6"/>
        <v>8.8710579038070851E-6</v>
      </c>
    </row>
    <row r="21" spans="2:18">
      <c r="B21" s="41">
        <v>80</v>
      </c>
      <c r="C21" s="30">
        <f>B21/1738800</f>
        <v>4.6008741660915574E-5</v>
      </c>
      <c r="D21" s="20">
        <v>25</v>
      </c>
      <c r="E21" s="38">
        <v>3.3838012958963199</v>
      </c>
      <c r="F21" s="38">
        <v>97.763449701503703</v>
      </c>
      <c r="G21" s="20">
        <v>138.90675558037501</v>
      </c>
      <c r="H21" s="20">
        <v>17.471083882200201</v>
      </c>
      <c r="I21" s="35">
        <f t="shared" si="0"/>
        <v>0.174710838822002</v>
      </c>
      <c r="J21" s="40">
        <f t="shared" si="4"/>
        <v>0.63464881681820873</v>
      </c>
      <c r="K21" s="25">
        <f t="shared" si="5"/>
        <v>0.7038063000826138</v>
      </c>
      <c r="L21" s="25">
        <f>I21*C21</f>
        <v>8.0382258487233493E-6</v>
      </c>
    </row>
    <row r="22" spans="2:18">
      <c r="B22" s="41">
        <v>80</v>
      </c>
      <c r="C22" s="30">
        <f t="shared" ref="C22" si="8">B22/1738800</f>
        <v>4.6008741660915574E-5</v>
      </c>
      <c r="D22" s="20">
        <v>25</v>
      </c>
      <c r="E22" s="38">
        <v>3.6112311015118701</v>
      </c>
      <c r="F22" s="38">
        <v>77.958181576036907</v>
      </c>
      <c r="G22" s="20">
        <v>152.70814513082399</v>
      </c>
      <c r="H22" s="20">
        <v>21.673143570454702</v>
      </c>
      <c r="I22" s="35">
        <f t="shared" si="0"/>
        <v>0.216731435704547</v>
      </c>
      <c r="J22" s="40">
        <f t="shared" si="4"/>
        <v>0.98730276025446717</v>
      </c>
      <c r="K22" s="25">
        <f t="shared" si="5"/>
        <v>0.5105044102870262</v>
      </c>
      <c r="L22" s="25">
        <f t="shared" si="6"/>
        <v>9.9715406351298377E-6</v>
      </c>
    </row>
    <row r="23" spans="2:18">
      <c r="B23" s="25">
        <v>30</v>
      </c>
      <c r="C23" s="30"/>
      <c r="D23" s="20">
        <v>25</v>
      </c>
      <c r="E23" s="38">
        <v>2.2796976241900602</v>
      </c>
      <c r="F23" s="38">
        <v>1.08425642302503</v>
      </c>
      <c r="G23" s="20">
        <v>2.7608692081533301</v>
      </c>
      <c r="H23" s="20">
        <v>0.85767784110507195</v>
      </c>
      <c r="I23" s="20">
        <f t="shared" si="0"/>
        <v>8.5767784110507197E-3</v>
      </c>
      <c r="K23" s="25">
        <f t="shared" ref="K23:K35" si="9">F23/G23</f>
        <v>0.39272284968191573</v>
      </c>
    </row>
    <row r="24" spans="2:18">
      <c r="B24" s="25">
        <v>30</v>
      </c>
      <c r="D24" s="20">
        <v>25</v>
      </c>
      <c r="E24" s="38">
        <v>2.4468682505399499</v>
      </c>
      <c r="F24" s="38">
        <v>4.0582168976079904</v>
      </c>
      <c r="G24" s="20">
        <v>5.5291296421004104</v>
      </c>
      <c r="H24" s="20">
        <v>3.0886454346861898</v>
      </c>
      <c r="I24" s="20">
        <f t="shared" si="0"/>
        <v>3.0886454346861898E-2</v>
      </c>
      <c r="K24" s="25">
        <f t="shared" si="9"/>
        <v>0.73397029194387842</v>
      </c>
    </row>
    <row r="25" spans="2:18">
      <c r="B25" s="25">
        <v>30</v>
      </c>
      <c r="D25" s="20">
        <v>25</v>
      </c>
      <c r="E25" s="38">
        <v>2.5596112311015098</v>
      </c>
      <c r="F25" s="38">
        <v>7.82836032634816</v>
      </c>
      <c r="G25" s="20">
        <v>10.0215166795328</v>
      </c>
      <c r="H25" s="20">
        <v>5.6624673554194001</v>
      </c>
      <c r="I25" s="20">
        <f t="shared" si="0"/>
        <v>5.6624673554194004E-2</v>
      </c>
      <c r="K25" s="25">
        <f t="shared" si="9"/>
        <v>0.78115524592562124</v>
      </c>
    </row>
    <row r="26" spans="2:18">
      <c r="B26" s="25">
        <v>30</v>
      </c>
      <c r="D26" s="20">
        <v>25</v>
      </c>
      <c r="E26" s="38">
        <v>2.70539956803455</v>
      </c>
      <c r="F26" s="38">
        <v>18.573934996728301</v>
      </c>
      <c r="G26" s="20">
        <v>23.4907938176502</v>
      </c>
      <c r="H26" s="20">
        <v>12.0105448154657</v>
      </c>
      <c r="I26" s="20">
        <f t="shared" si="0"/>
        <v>0.120105448154657</v>
      </c>
      <c r="K26" s="25">
        <f t="shared" si="9"/>
        <v>0.79068996735105923</v>
      </c>
    </row>
    <row r="27" spans="2:18">
      <c r="B27" s="25">
        <v>30</v>
      </c>
      <c r="D27" s="20">
        <v>25</v>
      </c>
      <c r="E27" s="38">
        <v>2.8570194384449201</v>
      </c>
      <c r="F27" s="38">
        <v>35.2185015547281</v>
      </c>
      <c r="G27" s="20">
        <v>43.871359821296501</v>
      </c>
      <c r="H27" s="20">
        <v>22.3051426506578</v>
      </c>
      <c r="I27" s="20">
        <f t="shared" si="0"/>
        <v>0.223051426506578</v>
      </c>
      <c r="K27" s="25">
        <f t="shared" si="9"/>
        <v>0.80276749337575726</v>
      </c>
      <c r="O27" s="25" t="s">
        <v>67</v>
      </c>
      <c r="P27" s="25" t="s">
        <v>68</v>
      </c>
      <c r="Q27" s="25" t="s">
        <v>69</v>
      </c>
      <c r="R27" s="25" t="s">
        <v>7</v>
      </c>
    </row>
    <row r="28" spans="2:18">
      <c r="B28" s="25">
        <v>30</v>
      </c>
      <c r="D28" s="20">
        <v>25</v>
      </c>
      <c r="E28" s="38">
        <v>3.0902807775377901</v>
      </c>
      <c r="F28" s="38">
        <v>58.041447836987999</v>
      </c>
      <c r="G28" s="20">
        <v>87.007046301923296</v>
      </c>
      <c r="H28" s="20">
        <v>36.541727575842103</v>
      </c>
      <c r="I28" s="20">
        <f t="shared" si="0"/>
        <v>0.36541727575842103</v>
      </c>
      <c r="K28" s="25">
        <f t="shared" si="9"/>
        <v>0.66708904972567706</v>
      </c>
      <c r="N28" s="25">
        <v>60</v>
      </c>
      <c r="O28" s="34">
        <v>2.3752424838425501</v>
      </c>
      <c r="P28" s="34">
        <v>0.69571549431299196</v>
      </c>
      <c r="Q28" s="25">
        <f t="shared" ref="Q28:Q45" si="10">1-P28</f>
        <v>0.30428450568700804</v>
      </c>
    </row>
    <row r="29" spans="2:18">
      <c r="B29" s="25">
        <v>30</v>
      </c>
      <c r="D29" s="20">
        <v>25</v>
      </c>
      <c r="E29" s="38">
        <v>3.2166306695464302</v>
      </c>
      <c r="F29" s="38">
        <v>61.277424883757199</v>
      </c>
      <c r="G29" s="20">
        <v>98.041160915198006</v>
      </c>
      <c r="H29" s="20">
        <v>38.6844932082847</v>
      </c>
      <c r="I29" s="20">
        <f t="shared" si="0"/>
        <v>0.38684493208284698</v>
      </c>
      <c r="K29" s="25">
        <f t="shared" si="9"/>
        <v>0.62501733263603354</v>
      </c>
      <c r="N29" s="25">
        <v>60</v>
      </c>
      <c r="O29" s="34">
        <v>2.6430107853859099</v>
      </c>
      <c r="P29" s="34">
        <v>0.54551398103570503</v>
      </c>
      <c r="Q29" s="25">
        <f t="shared" si="10"/>
        <v>0.45448601896429497</v>
      </c>
    </row>
    <row r="30" spans="2:18">
      <c r="B30" s="25">
        <v>30</v>
      </c>
      <c r="D30" s="20">
        <v>25</v>
      </c>
      <c r="E30" s="38">
        <v>3.4751619870410302</v>
      </c>
      <c r="F30" s="38">
        <v>42.8172716692047</v>
      </c>
      <c r="G30" s="20">
        <v>137.93259202076101</v>
      </c>
      <c r="H30" s="20">
        <v>27.771791797381798</v>
      </c>
      <c r="I30" s="20">
        <f t="shared" si="0"/>
        <v>0.27771791797381801</v>
      </c>
      <c r="K30" s="25">
        <f t="shared" si="9"/>
        <v>0.31042171427301268</v>
      </c>
      <c r="N30" s="25">
        <v>60</v>
      </c>
      <c r="O30" s="34">
        <v>2.8652308958788302</v>
      </c>
      <c r="P30" s="34">
        <v>0.25074094547792403</v>
      </c>
      <c r="Q30" s="25">
        <f t="shared" si="10"/>
        <v>0.74925905452207597</v>
      </c>
    </row>
    <row r="31" spans="2:18">
      <c r="B31" s="25">
        <v>15</v>
      </c>
      <c r="D31" s="20">
        <v>25</v>
      </c>
      <c r="E31" s="38">
        <v>2.39049676025917</v>
      </c>
      <c r="F31" s="38">
        <v>2.1731451832378901</v>
      </c>
      <c r="G31" s="20">
        <v>5.8706042737709998</v>
      </c>
      <c r="H31" s="20">
        <v>2.5735262717014602</v>
      </c>
      <c r="I31" s="20">
        <f t="shared" si="0"/>
        <v>2.5735262717014602E-2</v>
      </c>
      <c r="K31" s="25">
        <f t="shared" si="9"/>
        <v>0.37017401989556414</v>
      </c>
      <c r="N31" s="25">
        <v>60</v>
      </c>
      <c r="O31" s="34">
        <v>3.07765716786691</v>
      </c>
      <c r="P31" s="34">
        <v>2.0590084743093501E-2</v>
      </c>
      <c r="Q31" s="25">
        <f t="shared" si="10"/>
        <v>0.97940991525690646</v>
      </c>
    </row>
    <row r="32" spans="2:18">
      <c r="B32" s="25">
        <v>15</v>
      </c>
      <c r="D32" s="20">
        <v>25</v>
      </c>
      <c r="E32" s="38">
        <v>2.6820734341252699</v>
      </c>
      <c r="F32" s="38">
        <v>12.404240904695399</v>
      </c>
      <c r="G32" s="20">
        <v>21.798695859271</v>
      </c>
      <c r="H32" s="20">
        <v>17.247080465811401</v>
      </c>
      <c r="I32" s="20">
        <f t="shared" si="0"/>
        <v>0.17247080465811401</v>
      </c>
      <c r="K32" s="25">
        <f t="shared" si="9"/>
        <v>0.56903591778036888</v>
      </c>
      <c r="N32" s="25">
        <v>60</v>
      </c>
      <c r="O32" s="34">
        <v>3.2578673802622302</v>
      </c>
      <c r="P32" s="34">
        <v>2.8956876918883E-2</v>
      </c>
      <c r="Q32" s="25">
        <f t="shared" si="10"/>
        <v>0.97104312308111695</v>
      </c>
    </row>
    <row r="33" spans="2:18">
      <c r="B33" s="25">
        <v>15</v>
      </c>
      <c r="D33" s="20">
        <v>25</v>
      </c>
      <c r="E33" s="38">
        <v>2.8336933045356298</v>
      </c>
      <c r="F33" s="38">
        <v>25.0273597415155</v>
      </c>
      <c r="G33" s="20">
        <v>35.672026674112601</v>
      </c>
      <c r="H33" s="20">
        <v>33.981308411214897</v>
      </c>
      <c r="I33" s="20">
        <f t="shared" si="0"/>
        <v>0.33981308411214894</v>
      </c>
      <c r="K33" s="25">
        <f t="shared" si="9"/>
        <v>0.7015962387042618</v>
      </c>
      <c r="N33" s="25">
        <v>45</v>
      </c>
      <c r="O33" s="34">
        <v>2.3778017187545801</v>
      </c>
      <c r="P33" s="34">
        <v>0.84965404443826598</v>
      </c>
      <c r="Q33" s="25">
        <f t="shared" si="10"/>
        <v>0.15034595556173402</v>
      </c>
    </row>
    <row r="34" spans="2:18">
      <c r="B34" s="25">
        <v>15</v>
      </c>
      <c r="D34" s="20">
        <v>25</v>
      </c>
      <c r="E34" s="38">
        <v>2.97170626349891</v>
      </c>
      <c r="F34" s="38">
        <v>32.018425121164498</v>
      </c>
      <c r="G34" s="20">
        <v>50.190365126554198</v>
      </c>
      <c r="H34" s="20">
        <v>43.0758668265361</v>
      </c>
      <c r="I34" s="20">
        <f t="shared" si="0"/>
        <v>0.43075866826536102</v>
      </c>
      <c r="K34" s="25">
        <f t="shared" si="9"/>
        <v>0.63793967309125077</v>
      </c>
      <c r="N34" s="25">
        <v>45</v>
      </c>
      <c r="O34" s="34">
        <v>2.6579964008892398</v>
      </c>
      <c r="P34" s="34">
        <v>0.73588999796911903</v>
      </c>
      <c r="Q34" s="25">
        <f t="shared" si="10"/>
        <v>0.26411000203088097</v>
      </c>
    </row>
    <row r="35" spans="2:18">
      <c r="B35" s="25">
        <v>15</v>
      </c>
      <c r="D35" s="20">
        <v>25</v>
      </c>
      <c r="E35" s="38">
        <v>3.15053995680345</v>
      </c>
      <c r="F35" s="38">
        <v>31.240771515758599</v>
      </c>
      <c r="G35" s="20">
        <v>85.662828704235906</v>
      </c>
      <c r="H35" s="20">
        <v>42.379022058702702</v>
      </c>
      <c r="I35" s="20">
        <f t="shared" si="0"/>
        <v>0.42379022058702703</v>
      </c>
      <c r="K35" s="25">
        <f t="shared" si="9"/>
        <v>0.36469460544692223</v>
      </c>
      <c r="N35" s="25">
        <v>45</v>
      </c>
      <c r="O35" s="34">
        <v>2.8844113108083</v>
      </c>
      <c r="P35" s="34">
        <v>0.41526830968860201</v>
      </c>
      <c r="Q35" s="25">
        <f t="shared" si="10"/>
        <v>0.58473169031139793</v>
      </c>
    </row>
    <row r="36" spans="2:18">
      <c r="B36" s="30">
        <v>80</v>
      </c>
      <c r="C36" s="30">
        <f>B36/1738800</f>
        <v>4.6008741660915574E-5</v>
      </c>
      <c r="D36" s="25">
        <v>60</v>
      </c>
      <c r="E36" s="39">
        <v>2.3765724703737399</v>
      </c>
      <c r="F36" s="40">
        <v>8.5130520070000006</v>
      </c>
      <c r="G36" s="32">
        <f>F36/K36</f>
        <v>11.169418767384947</v>
      </c>
      <c r="H36" s="30">
        <f>I36*100</f>
        <v>1.8270475719604902</v>
      </c>
      <c r="I36" s="33">
        <v>1.8270475719604901E-2</v>
      </c>
      <c r="J36" s="30"/>
      <c r="K36" s="25">
        <f>L36*2*96485*1000/F36/25</f>
        <v>0.76217502309595364</v>
      </c>
      <c r="L36" s="25">
        <f>C36*I36</f>
        <v>8.406015974053325E-7</v>
      </c>
      <c r="N36" s="25">
        <v>45</v>
      </c>
      <c r="O36" s="34">
        <v>3.16595321590429</v>
      </c>
      <c r="P36" s="34">
        <v>0.32970743378189998</v>
      </c>
      <c r="Q36" s="25">
        <f t="shared" si="10"/>
        <v>0.67029256621810007</v>
      </c>
    </row>
    <row r="37" spans="2:18">
      <c r="B37" s="25">
        <v>80</v>
      </c>
      <c r="C37" s="30">
        <f t="shared" ref="C37:C53" si="11">B37/1738800</f>
        <v>4.6008741660915574E-5</v>
      </c>
      <c r="D37" s="25">
        <v>60</v>
      </c>
      <c r="E37" s="39">
        <v>2.6486782133090201</v>
      </c>
      <c r="F37" s="40">
        <v>50.822417719999997</v>
      </c>
      <c r="G37" s="32">
        <f t="shared" ref="G37:G53" si="12">F37/K37</f>
        <v>63.944701256946523</v>
      </c>
      <c r="H37" s="30">
        <f t="shared" ref="H37:H45" si="13">I37*100</f>
        <v>11.3740710412063</v>
      </c>
      <c r="I37" s="33">
        <v>0.113740710412063</v>
      </c>
      <c r="K37" s="25">
        <f t="shared" ref="K37:K53" si="14">L37*2*96485*1000/F37/25</f>
        <v>0.79478700691371185</v>
      </c>
      <c r="L37" s="25">
        <f t="shared" ref="L37:L53" si="15">C37*I37</f>
        <v>5.2330669616776169E-6</v>
      </c>
      <c r="N37" s="25">
        <v>45</v>
      </c>
      <c r="O37" s="34">
        <v>3.3559360891762702</v>
      </c>
      <c r="P37" s="34">
        <v>0.28872818025528202</v>
      </c>
      <c r="Q37" s="25">
        <f t="shared" si="10"/>
        <v>0.71127181974471798</v>
      </c>
    </row>
    <row r="38" spans="2:18">
      <c r="B38" s="25">
        <v>80</v>
      </c>
      <c r="C38" s="30">
        <f t="shared" si="11"/>
        <v>4.6008741660915574E-5</v>
      </c>
      <c r="D38" s="25">
        <v>60</v>
      </c>
      <c r="E38" s="39">
        <v>2.87155879671832</v>
      </c>
      <c r="F38" s="40">
        <v>137.28053729999999</v>
      </c>
      <c r="G38" s="32">
        <f t="shared" si="12"/>
        <v>171.42173086774986</v>
      </c>
      <c r="H38" s="30">
        <f t="shared" si="13"/>
        <v>30.957217681504201</v>
      </c>
      <c r="I38" s="33">
        <v>0.30957217681504201</v>
      </c>
      <c r="K38" s="25">
        <f t="shared" si="14"/>
        <v>0.80083509018999777</v>
      </c>
      <c r="L38" s="25">
        <f t="shared" si="15"/>
        <v>1.4243026308490546E-5</v>
      </c>
      <c r="N38" s="25">
        <v>25</v>
      </c>
      <c r="O38" s="34">
        <v>2.46374379196835</v>
      </c>
      <c r="P38" s="34">
        <v>0.85677189956808497</v>
      </c>
      <c r="Q38" s="36">
        <f t="shared" si="10"/>
        <v>0.14322810043191503</v>
      </c>
      <c r="R38" s="25">
        <f>Q38*K15</f>
        <v>0.11633787234309441</v>
      </c>
    </row>
    <row r="39" spans="2:18">
      <c r="B39" s="25">
        <v>80</v>
      </c>
      <c r="C39" s="30">
        <f t="shared" si="11"/>
        <v>4.6008741660915574E-5</v>
      </c>
      <c r="D39" s="25">
        <v>60</v>
      </c>
      <c r="E39" s="39">
        <v>3.0821330902461201</v>
      </c>
      <c r="F39" s="40">
        <v>177.69164409999999</v>
      </c>
      <c r="G39" s="32">
        <f t="shared" si="12"/>
        <v>222.09139995160382</v>
      </c>
      <c r="H39" s="30">
        <f t="shared" si="13"/>
        <v>40.032445962022699</v>
      </c>
      <c r="I39" s="33">
        <v>0.400324459620227</v>
      </c>
      <c r="K39" s="25">
        <f t="shared" si="14"/>
        <v>0.80008340772637287</v>
      </c>
      <c r="L39" s="25">
        <f t="shared" si="15"/>
        <v>1.8418424643212651E-5</v>
      </c>
      <c r="N39" s="25">
        <v>25</v>
      </c>
      <c r="O39" s="34">
        <v>2.54692299923</v>
      </c>
      <c r="P39" s="34">
        <v>0.85683706150091798</v>
      </c>
      <c r="Q39" s="36">
        <f t="shared" si="10"/>
        <v>0.14316293849908202</v>
      </c>
      <c r="R39" s="25">
        <f t="shared" ref="R39:R45" si="16">Q39*K16</f>
        <v>0.12239025045760163</v>
      </c>
    </row>
    <row r="40" spans="2:18">
      <c r="B40" s="25">
        <v>80</v>
      </c>
      <c r="C40" s="30">
        <f t="shared" si="11"/>
        <v>4.6008741660915574E-5</v>
      </c>
      <c r="D40" s="25">
        <v>60</v>
      </c>
      <c r="E40" s="39">
        <v>3.26262534184138</v>
      </c>
      <c r="F40" s="40">
        <v>165.91319999999999</v>
      </c>
      <c r="G40" s="32">
        <f t="shared" si="12"/>
        <v>207.7391141068849</v>
      </c>
      <c r="H40" s="30">
        <f t="shared" si="13"/>
        <v>37.312423713363003</v>
      </c>
      <c r="I40" s="33">
        <v>0.37312423713363002</v>
      </c>
      <c r="K40" s="25">
        <f t="shared" si="14"/>
        <v>0.79866134364390884</v>
      </c>
      <c r="L40" s="25">
        <f t="shared" si="15"/>
        <v>1.7166976633707386E-5</v>
      </c>
      <c r="N40" s="25">
        <v>25</v>
      </c>
      <c r="O40" s="34">
        <v>2.6966960727989102</v>
      </c>
      <c r="P40" s="34">
        <v>0.820526660461802</v>
      </c>
      <c r="Q40" s="36">
        <f t="shared" si="10"/>
        <v>0.179473339538198</v>
      </c>
      <c r="R40" s="25">
        <f t="shared" si="16"/>
        <v>0.16131501511495619</v>
      </c>
    </row>
    <row r="41" spans="2:18">
      <c r="B41" s="25">
        <v>80</v>
      </c>
      <c r="C41" s="30">
        <f t="shared" si="11"/>
        <v>4.6008741660915574E-5</v>
      </c>
      <c r="D41" s="25">
        <v>45</v>
      </c>
      <c r="E41" s="40">
        <v>2.3779398359999999</v>
      </c>
      <c r="F41" s="39">
        <v>5.20748173986658</v>
      </c>
      <c r="G41" s="32">
        <f t="shared" si="12"/>
        <v>5.9441955604840304</v>
      </c>
      <c r="H41" s="30">
        <f t="shared" si="13"/>
        <v>1.2846128999999999</v>
      </c>
      <c r="I41" s="25">
        <v>1.2846129E-2</v>
      </c>
      <c r="K41" s="25">
        <f t="shared" si="14"/>
        <v>0.87606164482289328</v>
      </c>
      <c r="L41" s="25">
        <f t="shared" si="15"/>
        <v>5.9103423050379573E-7</v>
      </c>
      <c r="N41" s="25">
        <v>25</v>
      </c>
      <c r="O41" s="34">
        <v>2.8478831603103001</v>
      </c>
      <c r="P41" s="34">
        <v>0.76424086891265297</v>
      </c>
      <c r="Q41" s="36">
        <f t="shared" si="10"/>
        <v>0.23575913108734703</v>
      </c>
      <c r="R41" s="25">
        <f t="shared" si="16"/>
        <v>0.20961390902074328</v>
      </c>
    </row>
    <row r="42" spans="2:18">
      <c r="B42" s="25">
        <v>80</v>
      </c>
      <c r="C42" s="30">
        <f t="shared" si="11"/>
        <v>4.6008741660915574E-5</v>
      </c>
      <c r="D42" s="25">
        <v>45</v>
      </c>
      <c r="E42" s="40">
        <v>2.658249772</v>
      </c>
      <c r="F42" s="39">
        <v>42.796445840535497</v>
      </c>
      <c r="G42" s="32">
        <f t="shared" si="12"/>
        <v>53.661153286046449</v>
      </c>
      <c r="H42" s="30">
        <f t="shared" si="13"/>
        <v>9.6109265999999991</v>
      </c>
      <c r="I42" s="25">
        <v>9.6109265999999999E-2</v>
      </c>
      <c r="K42" s="25">
        <f t="shared" si="14"/>
        <v>0.7975312347911071</v>
      </c>
      <c r="L42" s="25">
        <f t="shared" si="15"/>
        <v>4.4218663906142169E-6</v>
      </c>
      <c r="N42" s="25">
        <v>25</v>
      </c>
      <c r="O42" s="34">
        <v>3.0269090545763699</v>
      </c>
      <c r="P42" s="34">
        <v>0.62689580498336706</v>
      </c>
      <c r="Q42" s="36">
        <f t="shared" si="10"/>
        <v>0.37310419501663294</v>
      </c>
      <c r="R42" s="25">
        <f t="shared" si="16"/>
        <v>0.31622814569445257</v>
      </c>
    </row>
    <row r="43" spans="2:18">
      <c r="B43" s="25">
        <v>80</v>
      </c>
      <c r="C43" s="30">
        <f t="shared" si="11"/>
        <v>4.6008741660915574E-5</v>
      </c>
      <c r="D43" s="25">
        <v>45</v>
      </c>
      <c r="E43" s="40">
        <v>2.8879671830000002</v>
      </c>
      <c r="F43" s="39">
        <v>119.10151226885399</v>
      </c>
      <c r="G43" s="32">
        <f t="shared" si="12"/>
        <v>149.68300308678366</v>
      </c>
      <c r="H43" s="30">
        <f t="shared" si="13"/>
        <v>26.685289600000001</v>
      </c>
      <c r="I43" s="25">
        <v>0.26685289600000001</v>
      </c>
      <c r="K43" s="25">
        <f t="shared" si="14"/>
        <v>0.79569162705668706</v>
      </c>
      <c r="L43" s="25">
        <f t="shared" si="15"/>
        <v>1.2277565953531171E-5</v>
      </c>
      <c r="N43" s="25">
        <v>25</v>
      </c>
      <c r="O43" s="34">
        <v>3.1864987733266101</v>
      </c>
      <c r="P43" s="34">
        <v>0.50951201314533301</v>
      </c>
      <c r="Q43" s="36">
        <f t="shared" si="10"/>
        <v>0.49048798685466699</v>
      </c>
      <c r="R43" s="25">
        <f t="shared" si="16"/>
        <v>0.37503239113518472</v>
      </c>
    </row>
    <row r="44" spans="2:18">
      <c r="B44" s="25">
        <v>80</v>
      </c>
      <c r="C44" s="30">
        <f t="shared" si="11"/>
        <v>4.6008741660915574E-5</v>
      </c>
      <c r="D44" s="25">
        <v>45</v>
      </c>
      <c r="E44" s="40">
        <v>3.1669097540000002</v>
      </c>
      <c r="F44" s="39">
        <v>134.49406082378201</v>
      </c>
      <c r="G44" s="32">
        <f t="shared" si="12"/>
        <v>168.2916011032799</v>
      </c>
      <c r="H44" s="30">
        <f t="shared" si="13"/>
        <v>30.265902400000002</v>
      </c>
      <c r="I44" s="25">
        <v>0.302659024</v>
      </c>
      <c r="K44" s="25">
        <f t="shared" si="14"/>
        <v>0.79917274505721481</v>
      </c>
      <c r="L44" s="25">
        <f t="shared" si="15"/>
        <v>1.3924960846560847E-5</v>
      </c>
      <c r="N44" s="25">
        <v>25</v>
      </c>
      <c r="O44" s="34">
        <v>3.3821295571269201</v>
      </c>
      <c r="P44" s="34">
        <v>0.394506631855714</v>
      </c>
      <c r="Q44" s="36">
        <f t="shared" si="10"/>
        <v>0.605493368144286</v>
      </c>
      <c r="R44" s="25">
        <f t="shared" si="16"/>
        <v>0.42615004715818988</v>
      </c>
    </row>
    <row r="45" spans="2:18">
      <c r="B45" s="25">
        <v>80</v>
      </c>
      <c r="C45" s="30">
        <f t="shared" si="11"/>
        <v>4.6008741660915574E-5</v>
      </c>
      <c r="D45" s="25">
        <v>45</v>
      </c>
      <c r="E45" s="40">
        <v>3.3583409299999998</v>
      </c>
      <c r="F45" s="39">
        <v>136.884986136371</v>
      </c>
      <c r="G45" s="32">
        <f t="shared" si="12"/>
        <v>172.44615943445254</v>
      </c>
      <c r="H45" s="30">
        <f t="shared" si="13"/>
        <v>30.5962332</v>
      </c>
      <c r="I45" s="25">
        <v>0.305962332</v>
      </c>
      <c r="K45" s="25">
        <f t="shared" si="14"/>
        <v>0.79378390672945964</v>
      </c>
      <c r="L45" s="25">
        <f t="shared" si="15"/>
        <v>1.4076941890959283E-5</v>
      </c>
      <c r="N45" s="25">
        <v>25</v>
      </c>
      <c r="O45" s="34">
        <v>3.60802317158331</v>
      </c>
      <c r="P45" s="34">
        <v>0.44991273731161402</v>
      </c>
      <c r="Q45" s="36">
        <f t="shared" si="10"/>
        <v>0.55008726268838593</v>
      </c>
      <c r="R45" s="25">
        <f t="shared" si="16"/>
        <v>0.28082197364513894</v>
      </c>
    </row>
    <row r="46" spans="2:18">
      <c r="B46" s="25">
        <v>80</v>
      </c>
      <c r="C46" s="30">
        <f t="shared" si="11"/>
        <v>4.6008741660915574E-5</v>
      </c>
      <c r="D46" s="25">
        <v>25</v>
      </c>
      <c r="E46" s="39">
        <v>2.46681859617137</v>
      </c>
      <c r="F46" s="40">
        <v>4.27758196</v>
      </c>
      <c r="G46" s="32">
        <f t="shared" si="12"/>
        <v>5.471850450640348</v>
      </c>
      <c r="H46" s="30">
        <f>I46*100</f>
        <v>0.94161271881711905</v>
      </c>
      <c r="I46" s="33">
        <v>9.4161271881711903E-3</v>
      </c>
      <c r="J46" s="25">
        <v>0.81225591900101202</v>
      </c>
      <c r="K46" s="25">
        <f>L46*2*96485*1000/F46/25</f>
        <v>0.78174321440005956</v>
      </c>
      <c r="L46" s="45">
        <f t="shared" si="15"/>
        <v>4.3322416324689165E-7</v>
      </c>
    </row>
    <row r="47" spans="2:18">
      <c r="B47" s="25">
        <v>80</v>
      </c>
      <c r="C47" s="30">
        <f t="shared" si="11"/>
        <v>4.6008741660915574E-5</v>
      </c>
      <c r="D47" s="25">
        <v>25</v>
      </c>
      <c r="E47" s="39">
        <v>2.5488605287146702</v>
      </c>
      <c r="F47" s="40">
        <v>7.1237886110000002</v>
      </c>
      <c r="G47" s="32">
        <f t="shared" si="12"/>
        <v>7.572631971753494</v>
      </c>
      <c r="H47" s="30">
        <f t="shared" ref="H47:H53" si="17">I47*100</f>
        <v>1.88705715124453</v>
      </c>
      <c r="I47" s="33">
        <v>1.8870571512445301E-2</v>
      </c>
      <c r="J47" s="25">
        <v>0.85490177654034682</v>
      </c>
      <c r="K47" s="25">
        <f>L47*2*96485*1000/F47/25</f>
        <v>0.94072822204648077</v>
      </c>
      <c r="L47" s="45">
        <f t="shared" si="15"/>
        <v>8.6821124970992875E-7</v>
      </c>
    </row>
    <row r="48" spans="2:18">
      <c r="B48" s="25">
        <v>80</v>
      </c>
      <c r="C48" s="30">
        <f t="shared" si="11"/>
        <v>4.6008741660915574E-5</v>
      </c>
      <c r="D48" s="25">
        <v>25</v>
      </c>
      <c r="E48" s="39">
        <v>2.6979033728349999</v>
      </c>
      <c r="F48" s="40">
        <v>17.53703324</v>
      </c>
      <c r="G48" s="32">
        <f t="shared" si="12"/>
        <v>22.124679065240016</v>
      </c>
      <c r="H48" s="30">
        <f t="shared" si="17"/>
        <v>3.9142190565950195</v>
      </c>
      <c r="I48" s="33">
        <v>3.9142190565950197E-2</v>
      </c>
      <c r="J48" s="25">
        <v>0.8988243910211684</v>
      </c>
      <c r="K48" s="25">
        <f t="shared" si="14"/>
        <v>0.79264576847816759</v>
      </c>
      <c r="L48" s="45">
        <f t="shared" si="15"/>
        <v>1.8008829337911294E-6</v>
      </c>
    </row>
    <row r="49" spans="2:12">
      <c r="B49" s="25">
        <v>80</v>
      </c>
      <c r="C49" s="30">
        <f t="shared" si="11"/>
        <v>4.6008741660915574E-5</v>
      </c>
      <c r="D49" s="25">
        <v>25</v>
      </c>
      <c r="E49" s="39">
        <v>2.8496809480401</v>
      </c>
      <c r="F49" s="40">
        <v>33.144653339999998</v>
      </c>
      <c r="G49" s="32">
        <f t="shared" si="12"/>
        <v>41.24221730349155</v>
      </c>
      <c r="H49" s="30">
        <f t="shared" si="17"/>
        <v>7.5005793921789703</v>
      </c>
      <c r="I49" s="33">
        <v>7.5005793921789701E-2</v>
      </c>
      <c r="J49" s="25">
        <v>0.88910197477391817</v>
      </c>
      <c r="K49" s="25">
        <f t="shared" si="14"/>
        <v>0.80365837501161663</v>
      </c>
      <c r="L49" s="45">
        <f t="shared" si="15"/>
        <v>3.4509221956194941E-6</v>
      </c>
    </row>
    <row r="50" spans="2:12">
      <c r="B50" s="25">
        <v>80</v>
      </c>
      <c r="C50" s="30">
        <f t="shared" si="11"/>
        <v>4.6008741660915574E-5</v>
      </c>
      <c r="D50" s="25">
        <v>25</v>
      </c>
      <c r="E50" s="39">
        <v>3.0288058340929802</v>
      </c>
      <c r="F50" s="40">
        <v>64.105503229999997</v>
      </c>
      <c r="G50" s="32">
        <f t="shared" si="12"/>
        <v>79.940320319601213</v>
      </c>
      <c r="H50" s="30">
        <f t="shared" si="17"/>
        <v>14.475534199588999</v>
      </c>
      <c r="I50" s="33">
        <v>0.14475534199588999</v>
      </c>
      <c r="J50" s="25">
        <v>0.84755987715537517</v>
      </c>
      <c r="K50" s="25">
        <f t="shared" si="14"/>
        <v>0.8019170172662099</v>
      </c>
      <c r="L50" s="45">
        <f t="shared" si="15"/>
        <v>6.6600111339263858E-6</v>
      </c>
    </row>
    <row r="51" spans="2:12">
      <c r="B51" s="25">
        <v>80</v>
      </c>
      <c r="C51" s="30">
        <f t="shared" si="11"/>
        <v>4.6008741660915574E-5</v>
      </c>
      <c r="D51" s="25">
        <v>25</v>
      </c>
      <c r="E51" s="39">
        <v>3.1901549680948</v>
      </c>
      <c r="F51" s="40">
        <v>87.036084110000004</v>
      </c>
      <c r="G51" s="32">
        <f t="shared" si="12"/>
        <v>108.71568007822606</v>
      </c>
      <c r="H51" s="30">
        <f t="shared" si="17"/>
        <v>19.620783956244299</v>
      </c>
      <c r="I51" s="33">
        <v>0.196207839562443</v>
      </c>
      <c r="J51" s="25">
        <v>0.76461075742168561</v>
      </c>
      <c r="K51" s="25">
        <f t="shared" si="14"/>
        <v>0.80058446074543654</v>
      </c>
      <c r="L51" s="45">
        <f t="shared" si="15"/>
        <v>9.0272758022748106E-6</v>
      </c>
    </row>
    <row r="52" spans="2:12">
      <c r="B52" s="25">
        <v>80</v>
      </c>
      <c r="C52" s="30">
        <f t="shared" si="11"/>
        <v>4.6008741660915574E-5</v>
      </c>
      <c r="D52" s="25">
        <v>25</v>
      </c>
      <c r="E52" s="39">
        <v>3.377484047402</v>
      </c>
      <c r="F52" s="40">
        <v>98.63576741</v>
      </c>
      <c r="G52" s="32">
        <f t="shared" si="12"/>
        <v>124.22560818035655</v>
      </c>
      <c r="H52" s="30">
        <f t="shared" si="17"/>
        <v>22.052995071303798</v>
      </c>
      <c r="I52" s="33">
        <v>0.22052995071303799</v>
      </c>
      <c r="J52" s="25">
        <v>0.7038063000826138</v>
      </c>
      <c r="K52" s="25">
        <f t="shared" si="14"/>
        <v>0.7940051077616459</v>
      </c>
      <c r="L52" s="45">
        <f>C52*I52</f>
        <v>1.014630553085061E-5</v>
      </c>
    </row>
    <row r="53" spans="2:12">
      <c r="B53" s="25">
        <v>80</v>
      </c>
      <c r="C53" s="30">
        <f t="shared" si="11"/>
        <v>4.6008741660915574E-5</v>
      </c>
      <c r="D53" s="25">
        <v>25</v>
      </c>
      <c r="E53" s="39">
        <v>3.6099361896080202</v>
      </c>
      <c r="F53" s="40">
        <v>77.656729900000002</v>
      </c>
      <c r="G53" s="32">
        <f t="shared" si="12"/>
        <v>96.660245564233534</v>
      </c>
      <c r="H53" s="30">
        <f t="shared" si="17"/>
        <v>17.567912488605199</v>
      </c>
      <c r="I53" s="33">
        <v>0.175679124886052</v>
      </c>
      <c r="J53" s="25">
        <v>0.5105044102870262</v>
      </c>
      <c r="K53" s="25">
        <f t="shared" si="14"/>
        <v>0.80339884765133207</v>
      </c>
      <c r="L53" s="45">
        <f t="shared" si="15"/>
        <v>8.0827754720980905E-6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5AA3-2587-453C-9224-7CD30CB18440}">
  <dimension ref="A1:I47"/>
  <sheetViews>
    <sheetView topLeftCell="A7" workbookViewId="0">
      <selection activeCell="D37" sqref="D37"/>
    </sheetView>
  </sheetViews>
  <sheetFormatPr defaultRowHeight="14.5"/>
  <cols>
    <col min="1" max="2" width="9" style="25"/>
    <col min="3" max="3" width="12.7265625" style="25"/>
  </cols>
  <sheetData>
    <row r="1" spans="1:9">
      <c r="A1" s="31" t="s">
        <v>62</v>
      </c>
      <c r="B1" s="42" t="s">
        <v>66</v>
      </c>
      <c r="C1" s="37" t="s">
        <v>63</v>
      </c>
      <c r="D1" t="s">
        <v>9</v>
      </c>
      <c r="F1" s="31" t="s">
        <v>62</v>
      </c>
      <c r="G1" s="42" t="s">
        <v>66</v>
      </c>
      <c r="H1" s="37" t="s">
        <v>63</v>
      </c>
      <c r="I1" t="s">
        <v>9</v>
      </c>
    </row>
    <row r="2" spans="1:9">
      <c r="A2" s="25">
        <v>160</v>
      </c>
      <c r="B2" s="20">
        <v>25</v>
      </c>
      <c r="C2" s="38">
        <v>2.3807775377969702</v>
      </c>
      <c r="D2">
        <v>0.56627754606458824</v>
      </c>
      <c r="F2" s="25">
        <v>160</v>
      </c>
      <c r="G2" s="20">
        <v>25</v>
      </c>
      <c r="H2" s="38">
        <v>3.1699784017278598</v>
      </c>
      <c r="I2">
        <v>0.8858441928248374</v>
      </c>
    </row>
    <row r="3" spans="1:9">
      <c r="A3" s="25">
        <v>160</v>
      </c>
      <c r="B3" s="20">
        <v>25</v>
      </c>
      <c r="C3" s="38">
        <v>2.6684665226781799</v>
      </c>
      <c r="D3">
        <v>0.7231706171535015</v>
      </c>
      <c r="F3" s="20">
        <v>120</v>
      </c>
      <c r="G3" s="20">
        <v>25</v>
      </c>
      <c r="H3" s="38">
        <v>3.2146868250539899</v>
      </c>
      <c r="I3">
        <v>0.89610840639369338</v>
      </c>
    </row>
    <row r="4" spans="1:9">
      <c r="A4" s="25">
        <v>160</v>
      </c>
      <c r="B4" s="20">
        <v>25</v>
      </c>
      <c r="C4" s="38">
        <v>2.9503239740820701</v>
      </c>
      <c r="D4">
        <v>0.84732887544868463</v>
      </c>
      <c r="F4" s="41">
        <v>80</v>
      </c>
      <c r="G4" s="20">
        <v>25</v>
      </c>
      <c r="H4" s="38">
        <v>2.5498920086393002</v>
      </c>
      <c r="I4">
        <v>0.85490177654034682</v>
      </c>
    </row>
    <row r="5" spans="1:9">
      <c r="A5" s="25">
        <v>160</v>
      </c>
      <c r="B5" s="20">
        <v>25</v>
      </c>
      <c r="C5" s="38">
        <v>3.4187904967602498</v>
      </c>
      <c r="D5">
        <v>0.87257274099260362</v>
      </c>
      <c r="F5" s="25">
        <v>30</v>
      </c>
      <c r="G5" s="20">
        <v>25</v>
      </c>
      <c r="H5" s="38">
        <v>2.70539956803455</v>
      </c>
      <c r="I5">
        <v>0.79068996735105923</v>
      </c>
    </row>
    <row r="6" spans="1:9">
      <c r="A6" s="25">
        <v>160</v>
      </c>
      <c r="B6" s="20">
        <v>25</v>
      </c>
      <c r="C6" s="38">
        <v>3.64816414686825</v>
      </c>
      <c r="D6">
        <v>0.66408219468463114</v>
      </c>
      <c r="F6" s="25">
        <v>15</v>
      </c>
      <c r="G6" s="20">
        <v>25</v>
      </c>
      <c r="H6" s="38">
        <v>2.8336933045356298</v>
      </c>
      <c r="I6">
        <v>0.7015962387042618</v>
      </c>
    </row>
    <row r="7" spans="1:9">
      <c r="A7" s="25">
        <v>160</v>
      </c>
      <c r="B7" s="20">
        <v>25</v>
      </c>
      <c r="C7" s="38">
        <v>3.8386609071274198</v>
      </c>
      <c r="D7">
        <v>0.53885096729893167</v>
      </c>
      <c r="F7" s="25">
        <v>80</v>
      </c>
      <c r="G7" s="25">
        <v>45</v>
      </c>
      <c r="H7" s="40">
        <v>3.1669097540000002</v>
      </c>
      <c r="I7">
        <v>0.79917274505721481</v>
      </c>
    </row>
    <row r="8" spans="1:9">
      <c r="A8" s="20">
        <v>120</v>
      </c>
      <c r="B8" s="20">
        <v>25</v>
      </c>
      <c r="C8" s="38">
        <v>2.38660907127429</v>
      </c>
      <c r="D8">
        <v>0.62986774732895556</v>
      </c>
      <c r="F8" s="25">
        <v>80</v>
      </c>
      <c r="G8" s="25">
        <v>25</v>
      </c>
      <c r="H8" s="39">
        <v>3.1901549680948</v>
      </c>
      <c r="I8">
        <v>0.80058446074543654</v>
      </c>
    </row>
    <row r="9" spans="1:9">
      <c r="A9" s="20">
        <v>120</v>
      </c>
      <c r="B9" s="20">
        <v>25</v>
      </c>
      <c r="C9" s="38">
        <v>2.6820734341252699</v>
      </c>
      <c r="D9">
        <v>0.73237560144245673</v>
      </c>
      <c r="F9" s="25">
        <v>80</v>
      </c>
      <c r="G9" s="25">
        <v>60</v>
      </c>
      <c r="H9" s="39">
        <v>2.87155879671832</v>
      </c>
      <c r="I9">
        <v>0.80083509018999777</v>
      </c>
    </row>
    <row r="10" spans="1:9">
      <c r="A10" s="20">
        <v>120</v>
      </c>
      <c r="B10" s="20">
        <v>25</v>
      </c>
      <c r="C10" s="38">
        <v>2.9619870410367102</v>
      </c>
      <c r="D10">
        <v>0.90312248619567448</v>
      </c>
    </row>
    <row r="11" spans="1:9">
      <c r="A11" s="20">
        <v>120</v>
      </c>
      <c r="B11" s="20">
        <v>25</v>
      </c>
      <c r="C11" s="38">
        <v>3.4596112311015101</v>
      </c>
      <c r="D11">
        <v>0.74163181570220205</v>
      </c>
    </row>
    <row r="12" spans="1:9">
      <c r="A12" s="20">
        <v>120</v>
      </c>
      <c r="B12" s="20">
        <v>25</v>
      </c>
      <c r="C12" s="38">
        <v>3.7084233261339001</v>
      </c>
      <c r="D12">
        <v>0.52893524448761109</v>
      </c>
    </row>
    <row r="13" spans="1:9">
      <c r="A13" s="41">
        <v>80</v>
      </c>
      <c r="B13" s="20">
        <v>25</v>
      </c>
      <c r="C13" s="38">
        <v>2.47213822894168</v>
      </c>
      <c r="D13">
        <v>0.81225591900101213</v>
      </c>
    </row>
    <row r="14" spans="1:9">
      <c r="A14" s="41">
        <v>80</v>
      </c>
      <c r="B14" s="20">
        <v>25</v>
      </c>
      <c r="C14" s="38">
        <v>2.70539956803455</v>
      </c>
      <c r="D14">
        <v>0.8988243910211684</v>
      </c>
    </row>
    <row r="15" spans="1:9">
      <c r="A15" s="41">
        <v>80</v>
      </c>
      <c r="B15" s="20">
        <v>25</v>
      </c>
      <c r="C15" s="38">
        <v>2.8570194384449201</v>
      </c>
      <c r="D15">
        <v>0.88910197477391817</v>
      </c>
    </row>
    <row r="16" spans="1:9">
      <c r="A16" s="41">
        <v>80</v>
      </c>
      <c r="B16" s="20">
        <v>25</v>
      </c>
      <c r="C16" s="38">
        <v>3.0319654427645699</v>
      </c>
      <c r="D16">
        <v>0.84755987715537517</v>
      </c>
    </row>
    <row r="17" spans="1:4">
      <c r="A17" s="41">
        <v>80</v>
      </c>
      <c r="B17" s="20">
        <v>25</v>
      </c>
      <c r="C17" s="38">
        <v>3.1952483801295801</v>
      </c>
      <c r="D17">
        <v>0.76461075742168561</v>
      </c>
    </row>
    <row r="18" spans="1:4">
      <c r="A18" s="41">
        <v>80</v>
      </c>
      <c r="B18" s="20">
        <v>25</v>
      </c>
      <c r="C18" s="38">
        <v>3.3838012958963199</v>
      </c>
      <c r="D18">
        <v>0.7038063000826138</v>
      </c>
    </row>
    <row r="19" spans="1:4">
      <c r="A19" s="41">
        <v>80</v>
      </c>
      <c r="B19" s="20">
        <v>25</v>
      </c>
      <c r="C19" s="38">
        <v>3.6112311015118701</v>
      </c>
      <c r="D19">
        <v>0.5105044102870262</v>
      </c>
    </row>
    <row r="20" spans="1:4">
      <c r="A20" s="25">
        <v>30</v>
      </c>
      <c r="B20" s="20">
        <v>25</v>
      </c>
      <c r="C20" s="38">
        <v>2.2796976241900602</v>
      </c>
      <c r="D20">
        <v>0.39272284968191573</v>
      </c>
    </row>
    <row r="21" spans="1:4">
      <c r="A21" s="25">
        <v>30</v>
      </c>
      <c r="B21" s="20">
        <v>25</v>
      </c>
      <c r="C21" s="38">
        <v>2.4468682505399499</v>
      </c>
      <c r="D21">
        <v>0.73397029194387842</v>
      </c>
    </row>
    <row r="22" spans="1:4">
      <c r="A22" s="25">
        <v>30</v>
      </c>
      <c r="B22" s="20">
        <v>25</v>
      </c>
      <c r="C22" s="38">
        <v>2.5596112311015098</v>
      </c>
      <c r="D22">
        <v>0.78115524592562124</v>
      </c>
    </row>
    <row r="23" spans="1:4">
      <c r="A23" s="25">
        <v>30</v>
      </c>
      <c r="B23" s="20">
        <v>25</v>
      </c>
      <c r="C23" s="38">
        <v>2.8570194384449201</v>
      </c>
      <c r="D23">
        <v>0.80276749337575726</v>
      </c>
    </row>
    <row r="24" spans="1:4">
      <c r="A24" s="25">
        <v>30</v>
      </c>
      <c r="B24" s="20">
        <v>25</v>
      </c>
      <c r="C24" s="38">
        <v>3.0902807775377901</v>
      </c>
      <c r="D24">
        <v>0.66708904972567706</v>
      </c>
    </row>
    <row r="25" spans="1:4">
      <c r="A25" s="25">
        <v>30</v>
      </c>
      <c r="B25" s="20">
        <v>25</v>
      </c>
      <c r="C25" s="38">
        <v>3.2166306695464302</v>
      </c>
      <c r="D25">
        <v>0.62501733263603354</v>
      </c>
    </row>
    <row r="26" spans="1:4">
      <c r="A26" s="25">
        <v>30</v>
      </c>
      <c r="B26" s="20">
        <v>25</v>
      </c>
      <c r="C26" s="38">
        <v>3.4751619870410302</v>
      </c>
      <c r="D26">
        <v>0.31042171427301268</v>
      </c>
    </row>
    <row r="27" spans="1:4">
      <c r="A27" s="25">
        <v>15</v>
      </c>
      <c r="B27" s="20">
        <v>25</v>
      </c>
      <c r="C27" s="38">
        <v>2.39049676025917</v>
      </c>
      <c r="D27">
        <v>0.37017401989556414</v>
      </c>
    </row>
    <row r="28" spans="1:4">
      <c r="A28" s="25">
        <v>15</v>
      </c>
      <c r="B28" s="20">
        <v>25</v>
      </c>
      <c r="C28" s="38">
        <v>2.6820734341252699</v>
      </c>
      <c r="D28">
        <v>0.56903591778036888</v>
      </c>
    </row>
    <row r="29" spans="1:4">
      <c r="A29" s="25">
        <v>15</v>
      </c>
      <c r="B29" s="20">
        <v>25</v>
      </c>
      <c r="C29" s="38">
        <v>2.97170626349891</v>
      </c>
      <c r="D29">
        <v>0.63793967309125077</v>
      </c>
    </row>
    <row r="30" spans="1:4">
      <c r="A30" s="25">
        <v>15</v>
      </c>
      <c r="B30" s="20">
        <v>25</v>
      </c>
      <c r="C30" s="38">
        <v>3.15053995680345</v>
      </c>
      <c r="D30">
        <v>0.36469460544692223</v>
      </c>
    </row>
    <row r="31" spans="1:4">
      <c r="A31" s="30">
        <v>80</v>
      </c>
      <c r="B31" s="25">
        <v>60</v>
      </c>
      <c r="C31" s="39">
        <v>2.3765724703737399</v>
      </c>
      <c r="D31">
        <v>0.76217502309595364</v>
      </c>
    </row>
    <row r="32" spans="1:4">
      <c r="A32" s="25">
        <v>80</v>
      </c>
      <c r="B32" s="25">
        <v>60</v>
      </c>
      <c r="C32" s="39">
        <v>2.6486782133090201</v>
      </c>
      <c r="D32">
        <v>0.79478700691371185</v>
      </c>
    </row>
    <row r="33" spans="1:4">
      <c r="A33" s="25">
        <v>80</v>
      </c>
      <c r="B33" s="25">
        <v>60</v>
      </c>
      <c r="C33" s="39">
        <v>3.0821330902461201</v>
      </c>
      <c r="D33">
        <v>0.80008340772637287</v>
      </c>
    </row>
    <row r="34" spans="1:4">
      <c r="A34" s="25">
        <v>80</v>
      </c>
      <c r="B34" s="25">
        <v>60</v>
      </c>
      <c r="C34" s="39">
        <v>3.26262534184138</v>
      </c>
      <c r="D34">
        <v>0.79866134364390884</v>
      </c>
    </row>
    <row r="35" spans="1:4">
      <c r="A35" s="25">
        <v>80</v>
      </c>
      <c r="B35" s="25">
        <v>45</v>
      </c>
      <c r="C35" s="40">
        <v>2.3779398359999999</v>
      </c>
      <c r="D35">
        <v>0.87606164482289328</v>
      </c>
    </row>
    <row r="36" spans="1:4">
      <c r="A36" s="25">
        <v>80</v>
      </c>
      <c r="B36" s="25">
        <v>45</v>
      </c>
      <c r="C36" s="40">
        <v>2.658249772</v>
      </c>
      <c r="D36">
        <v>0.7975312347911071</v>
      </c>
    </row>
    <row r="37" spans="1:4">
      <c r="A37" s="25">
        <v>80</v>
      </c>
      <c r="B37" s="25">
        <v>45</v>
      </c>
      <c r="C37" s="40">
        <v>2.8879671830000002</v>
      </c>
      <c r="D37">
        <v>0.79569162705668695</v>
      </c>
    </row>
    <row r="38" spans="1:4">
      <c r="A38" s="25">
        <v>80</v>
      </c>
      <c r="B38" s="25">
        <v>45</v>
      </c>
      <c r="C38" s="40">
        <v>3.3583409299999998</v>
      </c>
      <c r="D38">
        <v>0.79378390672945964</v>
      </c>
    </row>
    <row r="39" spans="1:4">
      <c r="A39" s="25">
        <v>80</v>
      </c>
      <c r="B39" s="25">
        <v>25</v>
      </c>
      <c r="C39" s="39">
        <v>2.46681859617137</v>
      </c>
      <c r="D39">
        <v>0.78174321440005956</v>
      </c>
    </row>
    <row r="40" spans="1:4">
      <c r="A40" s="25">
        <v>80</v>
      </c>
      <c r="B40" s="25">
        <v>25</v>
      </c>
      <c r="C40" s="39">
        <v>2.5488605287146702</v>
      </c>
      <c r="D40">
        <v>0.94072822204648077</v>
      </c>
    </row>
    <row r="41" spans="1:4">
      <c r="A41" s="25">
        <v>80</v>
      </c>
      <c r="B41" s="25">
        <v>25</v>
      </c>
      <c r="C41" s="39">
        <v>2.6979033728349999</v>
      </c>
      <c r="D41">
        <v>0.79264576847816759</v>
      </c>
    </row>
    <row r="42" spans="1:4">
      <c r="A42" s="25">
        <v>80</v>
      </c>
      <c r="B42" s="25">
        <v>25</v>
      </c>
      <c r="C42" s="39">
        <v>2.8496809480401</v>
      </c>
      <c r="D42">
        <v>0.80365837501161663</v>
      </c>
    </row>
    <row r="43" spans="1:4">
      <c r="A43" s="25">
        <v>80</v>
      </c>
      <c r="B43" s="25">
        <v>25</v>
      </c>
      <c r="C43" s="39">
        <v>3.0288058340929802</v>
      </c>
      <c r="D43">
        <v>0.8019170172662099</v>
      </c>
    </row>
    <row r="44" spans="1:4">
      <c r="A44" s="25">
        <v>80</v>
      </c>
      <c r="B44" s="25">
        <v>25</v>
      </c>
      <c r="C44" s="39">
        <v>3.377484047402</v>
      </c>
      <c r="D44">
        <v>0.7940051077616459</v>
      </c>
    </row>
    <row r="45" spans="1:4">
      <c r="A45" s="25">
        <v>80</v>
      </c>
      <c r="B45" s="25">
        <v>25</v>
      </c>
      <c r="C45" s="39">
        <v>3.6099361896080202</v>
      </c>
      <c r="D45">
        <v>0.80339884765133207</v>
      </c>
    </row>
    <row r="47" spans="1:4">
      <c r="A47" s="25">
        <f>MAX(A2:A45)</f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46FF-3147-45E7-82CC-141A2820C161}">
  <dimension ref="A1:D53"/>
  <sheetViews>
    <sheetView topLeftCell="A16" workbookViewId="0">
      <selection activeCell="I21" sqref="I21"/>
    </sheetView>
  </sheetViews>
  <sheetFormatPr defaultRowHeight="14.5"/>
  <cols>
    <col min="1" max="3" width="9.1796875" style="25"/>
  </cols>
  <sheetData>
    <row r="1" spans="1:4">
      <c r="A1" s="31" t="s">
        <v>62</v>
      </c>
      <c r="B1" s="42" t="s">
        <v>66</v>
      </c>
      <c r="C1" s="37" t="s">
        <v>63</v>
      </c>
      <c r="D1" t="s">
        <v>65</v>
      </c>
    </row>
    <row r="2" spans="1:4">
      <c r="A2" s="25">
        <v>160</v>
      </c>
      <c r="B2" s="20">
        <v>25</v>
      </c>
      <c r="C2" s="38">
        <v>2.3807775377969702</v>
      </c>
      <c r="D2">
        <v>0.34167173102507298</v>
      </c>
    </row>
    <row r="3" spans="1:4">
      <c r="A3" s="25">
        <v>160</v>
      </c>
      <c r="B3" s="20">
        <v>25</v>
      </c>
      <c r="C3" s="38">
        <v>2.6684665226781799</v>
      </c>
      <c r="D3">
        <v>3.1674851764860299</v>
      </c>
    </row>
    <row r="4" spans="1:4">
      <c r="A4" s="25">
        <v>160</v>
      </c>
      <c r="B4" s="20">
        <v>25</v>
      </c>
      <c r="C4" s="38">
        <v>2.9503239740820701</v>
      </c>
      <c r="D4">
        <v>6.3338863065223299</v>
      </c>
    </row>
    <row r="5" spans="1:4">
      <c r="A5" s="25">
        <v>160</v>
      </c>
      <c r="B5" s="20">
        <v>25</v>
      </c>
      <c r="C5" s="38">
        <v>3.1699784017278598</v>
      </c>
      <c r="D5">
        <v>16.254882315260399</v>
      </c>
    </row>
    <row r="6" spans="1:4">
      <c r="A6" s="25">
        <v>160</v>
      </c>
      <c r="B6" s="20">
        <v>25</v>
      </c>
      <c r="C6" s="38">
        <v>3.4187904967602498</v>
      </c>
      <c r="D6">
        <v>16.3359886996369</v>
      </c>
    </row>
    <row r="7" spans="1:4">
      <c r="A7" s="25">
        <v>160</v>
      </c>
      <c r="B7" s="20">
        <v>25</v>
      </c>
      <c r="C7" s="38">
        <v>3.64816414686825</v>
      </c>
      <c r="D7">
        <v>15.8198840398797</v>
      </c>
    </row>
    <row r="8" spans="1:4">
      <c r="A8" s="25">
        <v>160</v>
      </c>
      <c r="B8" s="20">
        <v>25</v>
      </c>
      <c r="C8" s="38">
        <v>3.8386609071274198</v>
      </c>
      <c r="D8">
        <v>20.782747236502701</v>
      </c>
    </row>
    <row r="9" spans="1:4">
      <c r="A9" s="20">
        <v>120</v>
      </c>
      <c r="B9" s="20">
        <v>25</v>
      </c>
      <c r="C9" s="38">
        <v>2.38660907127429</v>
      </c>
      <c r="D9">
        <v>0.68620140269039998</v>
      </c>
    </row>
    <row r="10" spans="1:4">
      <c r="A10" s="20">
        <v>120</v>
      </c>
      <c r="B10" s="20">
        <v>25</v>
      </c>
      <c r="C10" s="38">
        <v>2.6820734341252699</v>
      </c>
      <c r="D10">
        <v>1.11390700195457</v>
      </c>
    </row>
    <row r="11" spans="1:4">
      <c r="A11" s="20">
        <v>120</v>
      </c>
      <c r="B11" s="20">
        <v>25</v>
      </c>
      <c r="C11" s="38">
        <v>2.9619870410367102</v>
      </c>
      <c r="D11">
        <v>2.99837393032537</v>
      </c>
    </row>
    <row r="12" spans="1:4">
      <c r="A12" s="20">
        <v>120</v>
      </c>
      <c r="B12" s="20">
        <v>25</v>
      </c>
      <c r="C12" s="38">
        <v>3.2146868250539899</v>
      </c>
      <c r="D12">
        <v>10.6228668101111</v>
      </c>
    </row>
    <row r="13" spans="1:4">
      <c r="A13" s="20">
        <v>120</v>
      </c>
      <c r="B13" s="20">
        <v>25</v>
      </c>
      <c r="C13" s="38">
        <v>3.4596112311015101</v>
      </c>
      <c r="D13">
        <v>21.665062496920299</v>
      </c>
    </row>
    <row r="14" spans="1:4">
      <c r="A14" s="20">
        <v>120</v>
      </c>
      <c r="B14" s="20">
        <v>25</v>
      </c>
      <c r="C14" s="38">
        <v>3.7084233261339001</v>
      </c>
      <c r="D14">
        <v>23.012827882988599</v>
      </c>
    </row>
    <row r="15" spans="1:4">
      <c r="A15" s="41">
        <v>80</v>
      </c>
      <c r="B15" s="20">
        <v>25</v>
      </c>
      <c r="C15" s="38">
        <v>2.47213822894168</v>
      </c>
      <c r="D15">
        <v>0.68590575365865902</v>
      </c>
    </row>
    <row r="16" spans="1:4">
      <c r="A16" s="41">
        <v>80</v>
      </c>
      <c r="B16" s="20">
        <v>25</v>
      </c>
      <c r="C16" s="38">
        <v>2.5498920086393002</v>
      </c>
      <c r="D16">
        <v>1.6288290655847899</v>
      </c>
    </row>
    <row r="17" spans="1:4">
      <c r="A17" s="41">
        <v>80</v>
      </c>
      <c r="B17" s="20">
        <v>25</v>
      </c>
      <c r="C17" s="38">
        <v>2.70539956803455</v>
      </c>
      <c r="D17">
        <v>4.0292035543583502</v>
      </c>
    </row>
    <row r="18" spans="1:4">
      <c r="A18" s="41">
        <v>80</v>
      </c>
      <c r="B18" s="20">
        <v>25</v>
      </c>
      <c r="C18" s="38">
        <v>2.8570194384449201</v>
      </c>
      <c r="D18">
        <v>7.45735262717014</v>
      </c>
    </row>
    <row r="19" spans="1:4">
      <c r="A19" s="41">
        <v>80</v>
      </c>
      <c r="B19" s="20">
        <v>25</v>
      </c>
      <c r="C19" s="38">
        <v>3.0319654427645699</v>
      </c>
      <c r="D19">
        <v>14.399388992001001</v>
      </c>
    </row>
    <row r="20" spans="1:4">
      <c r="A20" s="41">
        <v>80</v>
      </c>
      <c r="B20" s="20">
        <v>25</v>
      </c>
      <c r="C20" s="38">
        <v>3.1952483801295801</v>
      </c>
      <c r="D20">
        <v>19.281244353924698</v>
      </c>
    </row>
    <row r="21" spans="1:4">
      <c r="A21" s="41">
        <v>80</v>
      </c>
      <c r="B21" s="20">
        <v>25</v>
      </c>
      <c r="C21" s="38">
        <v>3.3838012958963199</v>
      </c>
      <c r="D21">
        <v>17.471083882200201</v>
      </c>
    </row>
    <row r="22" spans="1:4">
      <c r="A22" s="41">
        <v>80</v>
      </c>
      <c r="B22" s="20">
        <v>25</v>
      </c>
      <c r="C22" s="38">
        <v>3.6112311015118701</v>
      </c>
      <c r="D22">
        <v>21.673143570454702</v>
      </c>
    </row>
    <row r="23" spans="1:4">
      <c r="A23" s="25">
        <v>30</v>
      </c>
      <c r="B23" s="20">
        <v>25</v>
      </c>
      <c r="C23" s="38">
        <v>2.2796976241900602</v>
      </c>
      <c r="D23">
        <v>0.85767784110507195</v>
      </c>
    </row>
    <row r="24" spans="1:4">
      <c r="A24" s="25">
        <v>30</v>
      </c>
      <c r="B24" s="20">
        <v>25</v>
      </c>
      <c r="C24" s="38">
        <v>2.4468682505399499</v>
      </c>
      <c r="D24">
        <v>3.0886454346861898</v>
      </c>
    </row>
    <row r="25" spans="1:4">
      <c r="A25" s="25">
        <v>30</v>
      </c>
      <c r="B25" s="20">
        <v>25</v>
      </c>
      <c r="C25" s="38">
        <v>2.5596112311015098</v>
      </c>
      <c r="D25">
        <v>5.6624673554194001</v>
      </c>
    </row>
    <row r="26" spans="1:4">
      <c r="A26" s="25">
        <v>30</v>
      </c>
      <c r="B26" s="20">
        <v>25</v>
      </c>
      <c r="C26" s="38">
        <v>2.70539956803455</v>
      </c>
      <c r="D26">
        <v>12.0105448154657</v>
      </c>
    </row>
    <row r="27" spans="1:4">
      <c r="A27" s="25">
        <v>30</v>
      </c>
      <c r="B27" s="20">
        <v>25</v>
      </c>
      <c r="C27" s="38">
        <v>2.8570194384449201</v>
      </c>
      <c r="D27">
        <v>22.3051426506578</v>
      </c>
    </row>
    <row r="28" spans="1:4">
      <c r="A28" s="25">
        <v>30</v>
      </c>
      <c r="B28" s="20">
        <v>25</v>
      </c>
      <c r="C28" s="38">
        <v>3.0902807775377901</v>
      </c>
      <c r="D28">
        <v>36.541727575842103</v>
      </c>
    </row>
    <row r="29" spans="1:4">
      <c r="A29" s="25">
        <v>30</v>
      </c>
      <c r="B29" s="20">
        <v>25</v>
      </c>
      <c r="C29" s="38">
        <v>3.2166306695464302</v>
      </c>
      <c r="D29">
        <v>38.6844932082847</v>
      </c>
    </row>
    <row r="30" spans="1:4">
      <c r="A30" s="25">
        <v>30</v>
      </c>
      <c r="B30" s="20">
        <v>25</v>
      </c>
      <c r="C30" s="38">
        <v>3.4751619870410302</v>
      </c>
      <c r="D30">
        <v>27.771791797381798</v>
      </c>
    </row>
    <row r="31" spans="1:4">
      <c r="A31" s="25">
        <v>15</v>
      </c>
      <c r="B31" s="20">
        <v>25</v>
      </c>
      <c r="C31" s="38">
        <v>2.39049676025917</v>
      </c>
      <c r="D31">
        <v>2.5735262717014602</v>
      </c>
    </row>
    <row r="32" spans="1:4">
      <c r="A32" s="25">
        <v>15</v>
      </c>
      <c r="B32" s="20">
        <v>25</v>
      </c>
      <c r="C32" s="38">
        <v>2.6820734341252699</v>
      </c>
      <c r="D32">
        <v>17.247080465811401</v>
      </c>
    </row>
    <row r="33" spans="1:4">
      <c r="A33" s="25">
        <v>15</v>
      </c>
      <c r="B33" s="20">
        <v>25</v>
      </c>
      <c r="C33" s="38">
        <v>2.8336933045356298</v>
      </c>
      <c r="D33">
        <v>33.981308411214897</v>
      </c>
    </row>
    <row r="34" spans="1:4">
      <c r="A34" s="25">
        <v>15</v>
      </c>
      <c r="B34" s="20">
        <v>25</v>
      </c>
      <c r="C34" s="38">
        <v>2.97170626349891</v>
      </c>
      <c r="D34">
        <v>43.0758668265361</v>
      </c>
    </row>
    <row r="35" spans="1:4">
      <c r="A35" s="25">
        <v>15</v>
      </c>
      <c r="B35" s="20">
        <v>25</v>
      </c>
      <c r="C35" s="38">
        <v>3.15053995680345</v>
      </c>
      <c r="D35">
        <v>42.379022058702702</v>
      </c>
    </row>
    <row r="36" spans="1:4">
      <c r="A36" s="30">
        <v>80</v>
      </c>
      <c r="B36" s="25">
        <v>60</v>
      </c>
      <c r="C36" s="39">
        <v>2.3765724703737399</v>
      </c>
      <c r="D36">
        <v>1.8270475719604902</v>
      </c>
    </row>
    <row r="37" spans="1:4">
      <c r="A37" s="25">
        <v>80</v>
      </c>
      <c r="B37" s="25">
        <v>60</v>
      </c>
      <c r="C37" s="39">
        <v>2.6486782133090201</v>
      </c>
      <c r="D37">
        <v>11.3740710412063</v>
      </c>
    </row>
    <row r="38" spans="1:4">
      <c r="A38" s="25">
        <v>80</v>
      </c>
      <c r="B38" s="25">
        <v>60</v>
      </c>
      <c r="C38" s="39">
        <v>2.87155879671832</v>
      </c>
      <c r="D38">
        <v>30.957217681504201</v>
      </c>
    </row>
    <row r="39" spans="1:4">
      <c r="A39" s="25">
        <v>80</v>
      </c>
      <c r="B39" s="25">
        <v>60</v>
      </c>
      <c r="C39" s="39">
        <v>3.0821330902461201</v>
      </c>
      <c r="D39">
        <v>40.032445962022699</v>
      </c>
    </row>
    <row r="40" spans="1:4">
      <c r="A40" s="25">
        <v>80</v>
      </c>
      <c r="B40" s="25">
        <v>60</v>
      </c>
      <c r="C40" s="39">
        <v>3.26262534184138</v>
      </c>
      <c r="D40">
        <v>37.312423713363003</v>
      </c>
    </row>
    <row r="41" spans="1:4">
      <c r="A41" s="25">
        <v>80</v>
      </c>
      <c r="B41" s="25">
        <v>45</v>
      </c>
      <c r="C41" s="40">
        <v>2.3779398359999999</v>
      </c>
      <c r="D41">
        <v>1.2846128999999999</v>
      </c>
    </row>
    <row r="42" spans="1:4">
      <c r="A42" s="25">
        <v>80</v>
      </c>
      <c r="B42" s="25">
        <v>45</v>
      </c>
      <c r="C42" s="40">
        <v>2.658249772</v>
      </c>
      <c r="D42">
        <v>9.6109265999999991</v>
      </c>
    </row>
    <row r="43" spans="1:4">
      <c r="A43" s="25">
        <v>80</v>
      </c>
      <c r="B43" s="25">
        <v>45</v>
      </c>
      <c r="C43" s="40">
        <v>2.8879671830000002</v>
      </c>
      <c r="D43">
        <v>26.685289600000001</v>
      </c>
    </row>
    <row r="44" spans="1:4">
      <c r="A44" s="25">
        <v>80</v>
      </c>
      <c r="B44" s="25">
        <v>45</v>
      </c>
      <c r="C44" s="40">
        <v>3.1669097540000002</v>
      </c>
      <c r="D44">
        <v>30.265902400000002</v>
      </c>
    </row>
    <row r="45" spans="1:4">
      <c r="A45" s="25">
        <v>80</v>
      </c>
      <c r="B45" s="25">
        <v>45</v>
      </c>
      <c r="C45" s="40">
        <v>3.3583409299999998</v>
      </c>
      <c r="D45">
        <v>30.5962332</v>
      </c>
    </row>
    <row r="46" spans="1:4">
      <c r="A46" s="25">
        <v>80</v>
      </c>
      <c r="B46" s="25">
        <v>25</v>
      </c>
      <c r="C46" s="39">
        <v>2.46681859617137</v>
      </c>
      <c r="D46">
        <v>0.94161271881711905</v>
      </c>
    </row>
    <row r="47" spans="1:4">
      <c r="A47" s="25">
        <v>80</v>
      </c>
      <c r="B47" s="25">
        <v>25</v>
      </c>
      <c r="C47" s="39">
        <v>2.5488605287146702</v>
      </c>
      <c r="D47">
        <v>1.88705715124453</v>
      </c>
    </row>
    <row r="48" spans="1:4">
      <c r="A48" s="25">
        <v>80</v>
      </c>
      <c r="B48" s="25">
        <v>25</v>
      </c>
      <c r="C48" s="39">
        <v>2.6979033728349999</v>
      </c>
      <c r="D48">
        <v>3.9142190565950195</v>
      </c>
    </row>
    <row r="49" spans="1:4">
      <c r="A49" s="25">
        <v>80</v>
      </c>
      <c r="B49" s="25">
        <v>25</v>
      </c>
      <c r="C49" s="39">
        <v>2.8496809480401</v>
      </c>
      <c r="D49">
        <v>7.5005793921789703</v>
      </c>
    </row>
    <row r="50" spans="1:4">
      <c r="A50" s="25">
        <v>80</v>
      </c>
      <c r="B50" s="25">
        <v>25</v>
      </c>
      <c r="C50" s="39">
        <v>3.0288058340929802</v>
      </c>
      <c r="D50">
        <v>14.475534199588999</v>
      </c>
    </row>
    <row r="51" spans="1:4">
      <c r="A51" s="25">
        <v>80</v>
      </c>
      <c r="B51" s="25">
        <v>25</v>
      </c>
      <c r="C51" s="39">
        <v>3.1901549680948</v>
      </c>
      <c r="D51">
        <v>19.620783956244299</v>
      </c>
    </row>
    <row r="52" spans="1:4">
      <c r="A52" s="25">
        <v>80</v>
      </c>
      <c r="B52" s="25">
        <v>25</v>
      </c>
      <c r="C52" s="39">
        <v>3.377484047402</v>
      </c>
      <c r="D52">
        <v>22.052995071303798</v>
      </c>
    </row>
    <row r="53" spans="1:4">
      <c r="A53" s="25">
        <v>80</v>
      </c>
      <c r="B53" s="25">
        <v>25</v>
      </c>
      <c r="C53" s="39">
        <v>3.6099361896080202</v>
      </c>
      <c r="D53">
        <v>17.567912488605199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C40A-6364-477B-ADA8-2DFF394EC124}">
  <dimension ref="A1:E53"/>
  <sheetViews>
    <sheetView workbookViewId="0">
      <selection activeCell="D1" sqref="D1:D1048576"/>
    </sheetView>
  </sheetViews>
  <sheetFormatPr defaultRowHeight="14.5"/>
  <cols>
    <col min="1" max="3" width="9.1796875" style="25"/>
    <col min="4" max="4" width="12.7265625" style="48"/>
  </cols>
  <sheetData>
    <row r="1" spans="1:5">
      <c r="A1" s="31" t="s">
        <v>62</v>
      </c>
      <c r="B1" s="42" t="s">
        <v>66</v>
      </c>
      <c r="C1" s="37" t="s">
        <v>63</v>
      </c>
      <c r="D1" s="46" t="s">
        <v>59</v>
      </c>
      <c r="E1" t="s">
        <v>75</v>
      </c>
    </row>
    <row r="2" spans="1:5">
      <c r="A2" s="25">
        <v>160</v>
      </c>
      <c r="B2" s="20">
        <v>25</v>
      </c>
      <c r="C2" s="38">
        <v>2.3807775377969702</v>
      </c>
      <c r="D2" s="47">
        <v>6.2022239377166102</v>
      </c>
      <c r="E2">
        <f>D2*10</f>
        <v>62.022239377166102</v>
      </c>
    </row>
    <row r="3" spans="1:5">
      <c r="A3" s="25">
        <v>160</v>
      </c>
      <c r="B3" s="20">
        <v>25</v>
      </c>
      <c r="C3" s="38">
        <v>2.6684665226781799</v>
      </c>
      <c r="D3" s="47">
        <v>29.984232051639999</v>
      </c>
      <c r="E3">
        <f t="shared" ref="E3:E53" si="0">D3*10</f>
        <v>299.84232051639998</v>
      </c>
    </row>
    <row r="4" spans="1:5">
      <c r="A4" s="25">
        <v>160</v>
      </c>
      <c r="B4" s="20">
        <v>25</v>
      </c>
      <c r="C4" s="38">
        <v>2.9503239740820701</v>
      </c>
      <c r="D4" s="47">
        <v>63.412282574774501</v>
      </c>
      <c r="E4">
        <f t="shared" si="0"/>
        <v>634.12282574774497</v>
      </c>
    </row>
    <row r="5" spans="1:5">
      <c r="A5" s="25">
        <v>160</v>
      </c>
      <c r="B5" s="20">
        <v>25</v>
      </c>
      <c r="C5" s="38">
        <v>3.1699784017278598</v>
      </c>
      <c r="D5" s="47">
        <v>189.531232035215</v>
      </c>
      <c r="E5">
        <f t="shared" si="0"/>
        <v>1895.31232035215</v>
      </c>
    </row>
    <row r="6" spans="1:5">
      <c r="A6" s="25">
        <v>160</v>
      </c>
      <c r="B6" s="20">
        <v>25</v>
      </c>
      <c r="C6" s="38">
        <v>3.4187904967602498</v>
      </c>
      <c r="D6" s="47">
        <v>206.06441863902799</v>
      </c>
      <c r="E6">
        <f t="shared" si="0"/>
        <v>2060.6441863902801</v>
      </c>
    </row>
    <row r="7" spans="1:5">
      <c r="A7" s="25">
        <v>160</v>
      </c>
      <c r="B7" s="20">
        <v>25</v>
      </c>
      <c r="C7" s="38">
        <v>3.64816414686825</v>
      </c>
      <c r="D7" s="47">
        <v>209.85020449058001</v>
      </c>
      <c r="E7">
        <f t="shared" si="0"/>
        <v>2098.5020449058002</v>
      </c>
    </row>
    <row r="8" spans="1:5">
      <c r="A8" s="25">
        <v>160</v>
      </c>
      <c r="B8" s="20">
        <v>25</v>
      </c>
      <c r="C8" s="38">
        <v>3.8386609071274198</v>
      </c>
      <c r="D8" s="47">
        <v>264.64333229308602</v>
      </c>
      <c r="E8">
        <f t="shared" si="0"/>
        <v>2646.4333229308604</v>
      </c>
    </row>
    <row r="9" spans="1:5">
      <c r="A9" s="20">
        <v>120</v>
      </c>
      <c r="B9" s="20">
        <v>25</v>
      </c>
      <c r="C9" s="38">
        <v>2.38660907127429</v>
      </c>
      <c r="D9" s="47">
        <v>2.0710214674046901</v>
      </c>
      <c r="E9">
        <f t="shared" si="0"/>
        <v>20.710214674046902</v>
      </c>
    </row>
    <row r="10" spans="1:5">
      <c r="A10" s="20">
        <v>120</v>
      </c>
      <c r="B10" s="20">
        <v>25</v>
      </c>
      <c r="C10" s="38">
        <v>2.6820734341252699</v>
      </c>
      <c r="D10" s="47">
        <v>7.2399520391570702</v>
      </c>
      <c r="E10">
        <f t="shared" si="0"/>
        <v>72.399520391570704</v>
      </c>
    </row>
    <row r="11" spans="1:5">
      <c r="A11" s="20">
        <v>120</v>
      </c>
      <c r="B11" s="20">
        <v>25</v>
      </c>
      <c r="C11" s="38">
        <v>2.9619870410367102</v>
      </c>
      <c r="D11" s="47">
        <v>23.028037383177502</v>
      </c>
      <c r="E11">
        <f t="shared" si="0"/>
        <v>230.28037383177502</v>
      </c>
    </row>
    <row r="12" spans="1:5">
      <c r="A12" s="20">
        <v>120</v>
      </c>
      <c r="B12" s="20">
        <v>25</v>
      </c>
      <c r="C12" s="38">
        <v>3.2146868250539899</v>
      </c>
      <c r="D12" s="47">
        <v>73.425422531741205</v>
      </c>
      <c r="E12">
        <f t="shared" si="0"/>
        <v>734.25422531741208</v>
      </c>
    </row>
    <row r="13" spans="1:5">
      <c r="A13" s="20">
        <v>120</v>
      </c>
      <c r="B13" s="20">
        <v>25</v>
      </c>
      <c r="C13" s="38">
        <v>3.4596112311015101</v>
      </c>
      <c r="D13" s="47">
        <v>180.951497133846</v>
      </c>
      <c r="E13">
        <f t="shared" si="0"/>
        <v>1809.5149713384601</v>
      </c>
    </row>
    <row r="14" spans="1:5">
      <c r="A14" s="20">
        <v>120</v>
      </c>
      <c r="B14" s="20">
        <v>25</v>
      </c>
      <c r="C14" s="38">
        <v>3.7084233261339001</v>
      </c>
      <c r="D14" s="47">
        <v>270.51147282492599</v>
      </c>
      <c r="E14">
        <f t="shared" si="0"/>
        <v>2705.1147282492598</v>
      </c>
    </row>
    <row r="15" spans="1:5">
      <c r="A15" s="41">
        <v>80</v>
      </c>
      <c r="B15" s="20">
        <v>25</v>
      </c>
      <c r="C15" s="38">
        <v>2.47213822894168</v>
      </c>
      <c r="D15" s="47">
        <v>3.1043148333689001</v>
      </c>
      <c r="E15">
        <f t="shared" si="0"/>
        <v>31.043148333689</v>
      </c>
    </row>
    <row r="16" spans="1:5">
      <c r="A16" s="41">
        <v>80</v>
      </c>
      <c r="B16" s="20">
        <v>25</v>
      </c>
      <c r="C16" s="38">
        <v>2.5498920086393002</v>
      </c>
      <c r="D16" s="47">
        <v>7.5873396514626199</v>
      </c>
      <c r="E16">
        <f t="shared" si="0"/>
        <v>75.873396514626194</v>
      </c>
    </row>
    <row r="17" spans="1:5">
      <c r="A17" s="41">
        <v>80</v>
      </c>
      <c r="B17" s="20">
        <v>25</v>
      </c>
      <c r="C17" s="38">
        <v>2.70539956803455</v>
      </c>
      <c r="D17" s="47">
        <v>18.278501387907902</v>
      </c>
      <c r="E17">
        <f t="shared" si="0"/>
        <v>182.78501387907903</v>
      </c>
    </row>
    <row r="18" spans="1:5">
      <c r="A18" s="41">
        <v>80</v>
      </c>
      <c r="B18" s="20">
        <v>25</v>
      </c>
      <c r="C18" s="38">
        <v>2.8570194384449201</v>
      </c>
      <c r="D18" s="47">
        <v>36.897491910713903</v>
      </c>
      <c r="E18">
        <f t="shared" si="0"/>
        <v>368.97491910713904</v>
      </c>
    </row>
    <row r="19" spans="1:5">
      <c r="A19" s="41">
        <v>80</v>
      </c>
      <c r="B19" s="20">
        <v>25</v>
      </c>
      <c r="C19" s="38">
        <v>3.0319654427645699</v>
      </c>
      <c r="D19" s="47">
        <v>74.4803968267003</v>
      </c>
      <c r="E19">
        <f t="shared" si="0"/>
        <v>744.80396826700303</v>
      </c>
    </row>
    <row r="20" spans="1:5">
      <c r="A20" s="41">
        <v>80</v>
      </c>
      <c r="B20" s="20">
        <v>25</v>
      </c>
      <c r="C20" s="38">
        <v>3.1952483801295801</v>
      </c>
      <c r="D20" s="47">
        <v>112.395906903404</v>
      </c>
      <c r="E20">
        <f t="shared" si="0"/>
        <v>1123.9590690340399</v>
      </c>
    </row>
    <row r="21" spans="1:5">
      <c r="A21" s="41">
        <v>80</v>
      </c>
      <c r="B21" s="20">
        <v>25</v>
      </c>
      <c r="C21" s="38">
        <v>3.3838012958963199</v>
      </c>
      <c r="D21" s="47">
        <v>138.90675558037501</v>
      </c>
      <c r="E21">
        <f t="shared" si="0"/>
        <v>1389.0675558037501</v>
      </c>
    </row>
    <row r="22" spans="1:5">
      <c r="A22" s="41">
        <v>80</v>
      </c>
      <c r="B22" s="20">
        <v>25</v>
      </c>
      <c r="C22" s="38">
        <v>3.6112311015118701</v>
      </c>
      <c r="D22" s="47">
        <v>152.70814513082399</v>
      </c>
      <c r="E22">
        <f t="shared" si="0"/>
        <v>1527.08145130824</v>
      </c>
    </row>
    <row r="23" spans="1:5">
      <c r="A23" s="25">
        <v>30</v>
      </c>
      <c r="B23" s="20">
        <v>25</v>
      </c>
      <c r="C23" s="38">
        <v>2.2796976241900602</v>
      </c>
      <c r="D23" s="47">
        <v>2.7608692081533301</v>
      </c>
      <c r="E23">
        <f t="shared" si="0"/>
        <v>27.608692081533302</v>
      </c>
    </row>
    <row r="24" spans="1:5">
      <c r="A24" s="25">
        <v>30</v>
      </c>
      <c r="B24" s="20">
        <v>25</v>
      </c>
      <c r="C24" s="38">
        <v>2.4468682505399499</v>
      </c>
      <c r="D24" s="47">
        <v>5.5291296421004104</v>
      </c>
      <c r="E24">
        <f t="shared" si="0"/>
        <v>55.291296421004105</v>
      </c>
    </row>
    <row r="25" spans="1:5">
      <c r="A25" s="25">
        <v>30</v>
      </c>
      <c r="B25" s="20">
        <v>25</v>
      </c>
      <c r="C25" s="38">
        <v>2.5596112311015098</v>
      </c>
      <c r="D25" s="47">
        <v>10.0215166795328</v>
      </c>
      <c r="E25">
        <f t="shared" si="0"/>
        <v>100.215166795328</v>
      </c>
    </row>
    <row r="26" spans="1:5">
      <c r="A26" s="25">
        <v>30</v>
      </c>
      <c r="B26" s="20">
        <v>25</v>
      </c>
      <c r="C26" s="38">
        <v>2.70539956803455</v>
      </c>
      <c r="D26" s="47">
        <v>23.4907938176502</v>
      </c>
      <c r="E26">
        <f t="shared" si="0"/>
        <v>234.907938176502</v>
      </c>
    </row>
    <row r="27" spans="1:5">
      <c r="A27" s="25">
        <v>30</v>
      </c>
      <c r="B27" s="20">
        <v>25</v>
      </c>
      <c r="C27" s="38">
        <v>2.8570194384449201</v>
      </c>
      <c r="D27" s="47">
        <v>43.871359821296501</v>
      </c>
      <c r="E27">
        <f t="shared" si="0"/>
        <v>438.713598212965</v>
      </c>
    </row>
    <row r="28" spans="1:5">
      <c r="A28" s="25">
        <v>30</v>
      </c>
      <c r="B28" s="20">
        <v>25</v>
      </c>
      <c r="C28" s="38">
        <v>3.0902807775377901</v>
      </c>
      <c r="D28" s="47">
        <v>87.007046301923296</v>
      </c>
      <c r="E28">
        <f t="shared" si="0"/>
        <v>870.07046301923299</v>
      </c>
    </row>
    <row r="29" spans="1:5">
      <c r="A29" s="25">
        <v>30</v>
      </c>
      <c r="B29" s="20">
        <v>25</v>
      </c>
      <c r="C29" s="38">
        <v>3.2166306695464302</v>
      </c>
      <c r="D29" s="47">
        <v>98.041160915198006</v>
      </c>
      <c r="E29">
        <f t="shared" si="0"/>
        <v>980.41160915198009</v>
      </c>
    </row>
    <row r="30" spans="1:5">
      <c r="A30" s="25">
        <v>30</v>
      </c>
      <c r="B30" s="20">
        <v>25</v>
      </c>
      <c r="C30" s="38">
        <v>3.4751619870410302</v>
      </c>
      <c r="D30" s="47">
        <v>137.93259202076101</v>
      </c>
      <c r="E30">
        <f t="shared" si="0"/>
        <v>1379.3259202076101</v>
      </c>
    </row>
    <row r="31" spans="1:5">
      <c r="A31" s="25">
        <v>15</v>
      </c>
      <c r="B31" s="20">
        <v>25</v>
      </c>
      <c r="C31" s="38">
        <v>2.39049676025917</v>
      </c>
      <c r="D31" s="47">
        <v>5.8706042737709998</v>
      </c>
      <c r="E31">
        <f t="shared" si="0"/>
        <v>58.70604273771</v>
      </c>
    </row>
    <row r="32" spans="1:5">
      <c r="A32" s="25">
        <v>15</v>
      </c>
      <c r="B32" s="20">
        <v>25</v>
      </c>
      <c r="C32" s="38">
        <v>2.6820734341252699</v>
      </c>
      <c r="D32" s="47">
        <v>21.798695859271</v>
      </c>
      <c r="E32">
        <f t="shared" si="0"/>
        <v>217.98695859270998</v>
      </c>
    </row>
    <row r="33" spans="1:5">
      <c r="A33" s="25">
        <v>15</v>
      </c>
      <c r="B33" s="20">
        <v>25</v>
      </c>
      <c r="C33" s="38">
        <v>2.8336933045356298</v>
      </c>
      <c r="D33" s="47">
        <v>35.672026674112601</v>
      </c>
      <c r="E33">
        <f t="shared" si="0"/>
        <v>356.72026674112601</v>
      </c>
    </row>
    <row r="34" spans="1:5">
      <c r="A34" s="25">
        <v>15</v>
      </c>
      <c r="B34" s="20">
        <v>25</v>
      </c>
      <c r="C34" s="38">
        <v>2.97170626349891</v>
      </c>
      <c r="D34" s="47">
        <v>50.190365126554198</v>
      </c>
      <c r="E34">
        <f t="shared" si="0"/>
        <v>501.90365126554195</v>
      </c>
    </row>
    <row r="35" spans="1:5">
      <c r="A35" s="25">
        <v>15</v>
      </c>
      <c r="B35" s="20">
        <v>25</v>
      </c>
      <c r="C35" s="38">
        <v>3.15053995680345</v>
      </c>
      <c r="D35" s="47">
        <v>85.662828704235906</v>
      </c>
      <c r="E35">
        <f t="shared" si="0"/>
        <v>856.62828704235903</v>
      </c>
    </row>
    <row r="36" spans="1:5">
      <c r="A36" s="30">
        <v>80</v>
      </c>
      <c r="B36" s="25">
        <v>60</v>
      </c>
      <c r="C36" s="39">
        <v>2.3765724703737399</v>
      </c>
      <c r="D36" s="46">
        <v>11.169418767384947</v>
      </c>
      <c r="E36">
        <f t="shared" si="0"/>
        <v>111.69418767384947</v>
      </c>
    </row>
    <row r="37" spans="1:5">
      <c r="A37" s="25">
        <v>80</v>
      </c>
      <c r="B37" s="25">
        <v>60</v>
      </c>
      <c r="C37" s="39">
        <v>2.6486782133090201</v>
      </c>
      <c r="D37" s="46">
        <v>63.944701256946523</v>
      </c>
      <c r="E37">
        <f t="shared" si="0"/>
        <v>639.44701256946519</v>
      </c>
    </row>
    <row r="38" spans="1:5">
      <c r="A38" s="25">
        <v>80</v>
      </c>
      <c r="B38" s="25">
        <v>60</v>
      </c>
      <c r="C38" s="39">
        <v>2.87155879671832</v>
      </c>
      <c r="D38" s="46">
        <v>171.42173086774986</v>
      </c>
      <c r="E38">
        <f t="shared" si="0"/>
        <v>1714.2173086774985</v>
      </c>
    </row>
    <row r="39" spans="1:5">
      <c r="A39" s="25">
        <v>80</v>
      </c>
      <c r="B39" s="25">
        <v>60</v>
      </c>
      <c r="C39" s="39">
        <v>3.0821330902461201</v>
      </c>
      <c r="D39" s="46">
        <v>222.09139995160382</v>
      </c>
      <c r="E39">
        <f t="shared" si="0"/>
        <v>2220.9139995160381</v>
      </c>
    </row>
    <row r="40" spans="1:5">
      <c r="A40" s="25">
        <v>80</v>
      </c>
      <c r="B40" s="25">
        <v>60</v>
      </c>
      <c r="C40" s="39">
        <v>3.26262534184138</v>
      </c>
      <c r="D40" s="46">
        <v>207.7391141068849</v>
      </c>
      <c r="E40">
        <f t="shared" si="0"/>
        <v>2077.3911410688488</v>
      </c>
    </row>
    <row r="41" spans="1:5">
      <c r="A41" s="25">
        <v>80</v>
      </c>
      <c r="B41" s="25">
        <v>45</v>
      </c>
      <c r="C41" s="40">
        <v>2.3779398359999999</v>
      </c>
      <c r="D41" s="46">
        <v>5.9441955604840304</v>
      </c>
      <c r="E41">
        <f t="shared" si="0"/>
        <v>59.441955604840302</v>
      </c>
    </row>
    <row r="42" spans="1:5">
      <c r="A42" s="25">
        <v>80</v>
      </c>
      <c r="B42" s="25">
        <v>45</v>
      </c>
      <c r="C42" s="40">
        <v>2.658249772</v>
      </c>
      <c r="D42" s="46">
        <v>53.661153286046449</v>
      </c>
      <c r="E42">
        <f t="shared" si="0"/>
        <v>536.61153286046454</v>
      </c>
    </row>
    <row r="43" spans="1:5">
      <c r="A43" s="25">
        <v>80</v>
      </c>
      <c r="B43" s="25">
        <v>45</v>
      </c>
      <c r="C43" s="40">
        <v>2.8879671830000002</v>
      </c>
      <c r="D43" s="46">
        <v>149.68300308678366</v>
      </c>
      <c r="E43">
        <f t="shared" si="0"/>
        <v>1496.8300308678365</v>
      </c>
    </row>
    <row r="44" spans="1:5">
      <c r="A44" s="25">
        <v>80</v>
      </c>
      <c r="B44" s="25">
        <v>45</v>
      </c>
      <c r="C44" s="40">
        <v>3.1669097540000002</v>
      </c>
      <c r="D44" s="46">
        <v>168.2916011032799</v>
      </c>
      <c r="E44">
        <f t="shared" si="0"/>
        <v>1682.9160110327989</v>
      </c>
    </row>
    <row r="45" spans="1:5">
      <c r="A45" s="25">
        <v>80</v>
      </c>
      <c r="B45" s="25">
        <v>45</v>
      </c>
      <c r="C45" s="40">
        <v>3.3583409299999998</v>
      </c>
      <c r="D45" s="46">
        <v>172.44615943445254</v>
      </c>
      <c r="E45">
        <f t="shared" si="0"/>
        <v>1724.4615943445253</v>
      </c>
    </row>
    <row r="46" spans="1:5">
      <c r="A46" s="25">
        <v>80</v>
      </c>
      <c r="B46" s="25">
        <v>25</v>
      </c>
      <c r="C46" s="39">
        <v>2.46681859617137</v>
      </c>
      <c r="D46" s="46">
        <v>5.471850450640348</v>
      </c>
      <c r="E46">
        <f t="shared" si="0"/>
        <v>54.718504506403477</v>
      </c>
    </row>
    <row r="47" spans="1:5">
      <c r="A47" s="25">
        <v>80</v>
      </c>
      <c r="B47" s="25">
        <v>25</v>
      </c>
      <c r="C47" s="39">
        <v>2.5488605287146702</v>
      </c>
      <c r="D47" s="46">
        <v>7.572631971753494</v>
      </c>
      <c r="E47">
        <f t="shared" si="0"/>
        <v>75.726319717534935</v>
      </c>
    </row>
    <row r="48" spans="1:5">
      <c r="A48" s="25">
        <v>80</v>
      </c>
      <c r="B48" s="25">
        <v>25</v>
      </c>
      <c r="C48" s="39">
        <v>2.6979033728349999</v>
      </c>
      <c r="D48" s="46">
        <v>22.124679065240016</v>
      </c>
      <c r="E48">
        <f t="shared" si="0"/>
        <v>221.24679065240016</v>
      </c>
    </row>
    <row r="49" spans="1:5">
      <c r="A49" s="25">
        <v>80</v>
      </c>
      <c r="B49" s="25">
        <v>25</v>
      </c>
      <c r="C49" s="39">
        <v>2.8496809480401</v>
      </c>
      <c r="D49" s="46">
        <v>41.24221730349155</v>
      </c>
      <c r="E49">
        <f t="shared" si="0"/>
        <v>412.42217303491549</v>
      </c>
    </row>
    <row r="50" spans="1:5">
      <c r="A50" s="25">
        <v>80</v>
      </c>
      <c r="B50" s="25">
        <v>25</v>
      </c>
      <c r="C50" s="39">
        <v>3.0288058340929802</v>
      </c>
      <c r="D50" s="46">
        <v>79.940320319601213</v>
      </c>
      <c r="E50">
        <f t="shared" si="0"/>
        <v>799.4032031960121</v>
      </c>
    </row>
    <row r="51" spans="1:5">
      <c r="A51" s="25">
        <v>80</v>
      </c>
      <c r="B51" s="25">
        <v>25</v>
      </c>
      <c r="C51" s="39">
        <v>3.1901549680948</v>
      </c>
      <c r="D51" s="46">
        <v>108.71568007822606</v>
      </c>
      <c r="E51">
        <f t="shared" si="0"/>
        <v>1087.1568007822607</v>
      </c>
    </row>
    <row r="52" spans="1:5">
      <c r="A52" s="25">
        <v>80</v>
      </c>
      <c r="B52" s="25">
        <v>25</v>
      </c>
      <c r="C52" s="39">
        <v>3.377484047402</v>
      </c>
      <c r="D52" s="46">
        <v>124.22560818035655</v>
      </c>
      <c r="E52">
        <f t="shared" si="0"/>
        <v>1242.2560818035654</v>
      </c>
    </row>
    <row r="53" spans="1:5">
      <c r="A53" s="25">
        <v>80</v>
      </c>
      <c r="B53" s="25">
        <v>25</v>
      </c>
      <c r="C53" s="39">
        <v>3.6099361896080202</v>
      </c>
      <c r="D53" s="46">
        <v>96.660245564233534</v>
      </c>
      <c r="E53">
        <f t="shared" si="0"/>
        <v>966.60245564233537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39F5-2F0A-42BA-97FD-EAF274148D8E}">
  <dimension ref="F1:AJ61"/>
  <sheetViews>
    <sheetView zoomScale="85" zoomScaleNormal="85" workbookViewId="0">
      <selection activeCell="N48" sqref="N47:N48"/>
    </sheetView>
  </sheetViews>
  <sheetFormatPr defaultRowHeight="14.5"/>
  <cols>
    <col min="15" max="15" width="11.7265625" bestFit="1" customWidth="1"/>
    <col min="30" max="30" width="11" customWidth="1"/>
    <col min="31" max="31" width="11.7265625" bestFit="1" customWidth="1"/>
  </cols>
  <sheetData>
    <row r="1" spans="6:32">
      <c r="F1" s="31" t="s">
        <v>62</v>
      </c>
      <c r="G1" s="37" t="s">
        <v>63</v>
      </c>
      <c r="H1" s="37" t="s">
        <v>64</v>
      </c>
      <c r="J1" s="50" t="s">
        <v>9</v>
      </c>
      <c r="N1" s="31" t="s">
        <v>62</v>
      </c>
      <c r="O1" s="31" t="s">
        <v>59</v>
      </c>
      <c r="P1" s="32" t="s">
        <v>65</v>
      </c>
      <c r="V1" s="31" t="s">
        <v>62</v>
      </c>
      <c r="W1" s="31" t="s">
        <v>58</v>
      </c>
      <c r="X1" s="37" t="s">
        <v>63</v>
      </c>
      <c r="Y1" s="37" t="s">
        <v>64</v>
      </c>
      <c r="AB1" s="25"/>
      <c r="AC1" s="25" t="s">
        <v>67</v>
      </c>
      <c r="AD1" s="25" t="s">
        <v>68</v>
      </c>
      <c r="AE1" s="25" t="s">
        <v>69</v>
      </c>
      <c r="AF1" s="25" t="s">
        <v>7</v>
      </c>
    </row>
    <row r="2" spans="6:32">
      <c r="F2" s="25">
        <v>160</v>
      </c>
      <c r="G2" s="38">
        <v>2.3807775377969702</v>
      </c>
      <c r="H2" s="38">
        <v>3.5121801515932098</v>
      </c>
      <c r="I2" s="49"/>
      <c r="J2">
        <f>H2/O2</f>
        <v>0.56627754606458824</v>
      </c>
      <c r="N2" s="25">
        <v>160</v>
      </c>
      <c r="O2" s="20">
        <v>6.2022239377166102</v>
      </c>
      <c r="P2" s="20">
        <v>0.34167173102507298</v>
      </c>
      <c r="V2" s="30">
        <v>80</v>
      </c>
      <c r="W2" s="30">
        <v>60</v>
      </c>
      <c r="X2" s="39">
        <v>2.3765724703737399</v>
      </c>
      <c r="Y2" s="40">
        <v>8.5130520070000006</v>
      </c>
      <c r="AB2" s="25">
        <v>60</v>
      </c>
      <c r="AC2" s="34">
        <v>2.3752424838425501</v>
      </c>
      <c r="AD2" s="44">
        <v>0.69571549431299196</v>
      </c>
      <c r="AE2" s="25">
        <f t="shared" ref="AE2:AE19" si="0">1-AD2</f>
        <v>0.30428450568700804</v>
      </c>
      <c r="AF2" s="25"/>
    </row>
    <row r="3" spans="6:32">
      <c r="F3" s="25">
        <v>160</v>
      </c>
      <c r="G3" s="38">
        <v>2.6684665226781799</v>
      </c>
      <c r="H3" s="38">
        <v>21.683715597658299</v>
      </c>
      <c r="I3" s="49"/>
      <c r="J3">
        <f t="shared" ref="J3:J35" si="1">H3/O3</f>
        <v>0.7231706171535015</v>
      </c>
      <c r="N3" s="25">
        <v>160</v>
      </c>
      <c r="O3" s="20">
        <v>29.984232051639999</v>
      </c>
      <c r="P3" s="20">
        <v>3.1674851764860299</v>
      </c>
      <c r="V3" s="25">
        <v>80</v>
      </c>
      <c r="W3" s="30">
        <v>60</v>
      </c>
      <c r="X3" s="39">
        <v>2.6486782133090201</v>
      </c>
      <c r="Y3" s="40">
        <v>50.822417719999997</v>
      </c>
      <c r="AB3" s="25">
        <v>60</v>
      </c>
      <c r="AC3" s="34">
        <v>2.6430107853859099</v>
      </c>
      <c r="AD3" s="34">
        <v>0.54551398103570503</v>
      </c>
      <c r="AE3" s="25">
        <f t="shared" si="0"/>
        <v>0.45448601896429497</v>
      </c>
      <c r="AF3" s="25"/>
    </row>
    <row r="4" spans="6:32">
      <c r="F4" s="25">
        <v>160</v>
      </c>
      <c r="G4" s="38">
        <v>2.9503239740820701</v>
      </c>
      <c r="H4" s="38">
        <v>53.731058083717897</v>
      </c>
      <c r="I4" s="49"/>
      <c r="J4">
        <f t="shared" si="1"/>
        <v>0.84732887544868463</v>
      </c>
      <c r="N4" s="25">
        <v>160</v>
      </c>
      <c r="O4" s="20">
        <v>63.412282574774501</v>
      </c>
      <c r="P4" s="20">
        <v>6.3338863065223299</v>
      </c>
      <c r="V4" s="25">
        <v>80</v>
      </c>
      <c r="W4" s="30">
        <v>60</v>
      </c>
      <c r="X4" s="39">
        <v>2.87155879671832</v>
      </c>
      <c r="Y4" s="40">
        <v>137.28053729999999</v>
      </c>
      <c r="AB4" s="25">
        <v>60</v>
      </c>
      <c r="AC4" s="34">
        <v>2.8652308958788302</v>
      </c>
      <c r="AD4" s="34">
        <v>0.25074094547792403</v>
      </c>
      <c r="AE4" s="25">
        <f t="shared" si="0"/>
        <v>0.74925905452207597</v>
      </c>
      <c r="AF4" s="25"/>
    </row>
    <row r="5" spans="6:32">
      <c r="F5" s="25">
        <v>160</v>
      </c>
      <c r="G5" s="38">
        <v>3.1699784017278598</v>
      </c>
      <c r="H5" s="38">
        <v>167.895141257332</v>
      </c>
      <c r="I5" s="49"/>
      <c r="J5">
        <f t="shared" si="1"/>
        <v>0.8858441928248374</v>
      </c>
      <c r="N5" s="25">
        <v>160</v>
      </c>
      <c r="O5" s="20">
        <v>189.531232035215</v>
      </c>
      <c r="P5" s="20">
        <v>16.254882315260399</v>
      </c>
      <c r="V5" s="25">
        <v>80</v>
      </c>
      <c r="W5" s="30">
        <v>60</v>
      </c>
      <c r="X5" s="39">
        <v>3.0821330902461201</v>
      </c>
      <c r="Y5" s="40">
        <v>177.69164409999999</v>
      </c>
      <c r="AB5" s="25">
        <v>60</v>
      </c>
      <c r="AC5" s="34">
        <v>3.07765716786691</v>
      </c>
      <c r="AD5" s="34">
        <v>2.0590084743093501E-2</v>
      </c>
      <c r="AE5" s="25">
        <f t="shared" si="0"/>
        <v>0.97940991525690646</v>
      </c>
      <c r="AF5" s="25"/>
    </row>
    <row r="6" spans="6:32">
      <c r="F6" s="25">
        <v>160</v>
      </c>
      <c r="G6" s="38">
        <v>3.4187904967602498</v>
      </c>
      <c r="H6" s="38">
        <v>179.80619459290401</v>
      </c>
      <c r="I6" s="49"/>
      <c r="J6">
        <f t="shared" si="1"/>
        <v>0.87257274099260362</v>
      </c>
      <c r="N6" s="25">
        <v>160</v>
      </c>
      <c r="O6" s="20">
        <v>206.06441863902799</v>
      </c>
      <c r="P6" s="20">
        <v>16.3359886996369</v>
      </c>
      <c r="V6" s="25">
        <v>80</v>
      </c>
      <c r="W6" s="30">
        <v>60</v>
      </c>
      <c r="X6" s="39">
        <v>3.26262534184138</v>
      </c>
      <c r="Y6" s="40">
        <v>165.91319999999999</v>
      </c>
      <c r="AB6" s="25">
        <v>60</v>
      </c>
      <c r="AC6" s="34">
        <v>3.2578673802622302</v>
      </c>
      <c r="AD6" s="34">
        <v>2.8956876918883E-2</v>
      </c>
      <c r="AE6" s="25">
        <f t="shared" si="0"/>
        <v>0.97104312308111695</v>
      </c>
      <c r="AF6" s="25"/>
    </row>
    <row r="7" spans="6:32">
      <c r="F7" s="25">
        <v>160</v>
      </c>
      <c r="G7" s="38">
        <v>3.64816414686825</v>
      </c>
      <c r="H7" s="38">
        <v>139.35778435312301</v>
      </c>
      <c r="I7" s="49"/>
      <c r="J7">
        <f t="shared" si="1"/>
        <v>0.66408219468463114</v>
      </c>
      <c r="N7" s="25">
        <v>160</v>
      </c>
      <c r="O7" s="20">
        <v>209.85020449058001</v>
      </c>
      <c r="P7" s="20">
        <v>15.8198840398797</v>
      </c>
      <c r="V7" s="25">
        <v>80</v>
      </c>
      <c r="W7" s="25">
        <v>45</v>
      </c>
      <c r="X7" s="40">
        <v>2.3779398359999999</v>
      </c>
      <c r="Y7" s="39">
        <v>5.20748173986658</v>
      </c>
      <c r="AB7" s="25">
        <v>45</v>
      </c>
      <c r="AC7" s="34">
        <v>2.3778017187545801</v>
      </c>
      <c r="AD7" s="34">
        <v>0.84965404443826598</v>
      </c>
      <c r="AE7" s="25">
        <f t="shared" si="0"/>
        <v>0.15034595556173402</v>
      </c>
      <c r="AF7" s="25"/>
    </row>
    <row r="8" spans="6:32">
      <c r="F8" s="25">
        <v>160</v>
      </c>
      <c r="G8" s="38">
        <v>3.8386609071274198</v>
      </c>
      <c r="H8" s="38">
        <v>142.603315595342</v>
      </c>
      <c r="I8" s="49"/>
      <c r="J8">
        <f t="shared" si="1"/>
        <v>0.53885096729893167</v>
      </c>
      <c r="N8" s="25">
        <v>160</v>
      </c>
      <c r="O8" s="20">
        <v>264.64333229308602</v>
      </c>
      <c r="P8" s="35">
        <v>20.782747236502701</v>
      </c>
      <c r="V8" s="25">
        <v>80</v>
      </c>
      <c r="W8" s="25">
        <v>45</v>
      </c>
      <c r="X8" s="40">
        <v>2.658249772</v>
      </c>
      <c r="Y8" s="39">
        <v>42.796445840535497</v>
      </c>
      <c r="AB8" s="25">
        <v>45</v>
      </c>
      <c r="AC8" s="34">
        <v>2.6579964008892398</v>
      </c>
      <c r="AD8" s="34">
        <v>0.73588999796911903</v>
      </c>
      <c r="AE8" s="25">
        <f t="shared" si="0"/>
        <v>0.26411000203088097</v>
      </c>
      <c r="AF8" s="25"/>
    </row>
    <row r="9" spans="6:32">
      <c r="F9" s="20">
        <v>120</v>
      </c>
      <c r="G9" s="38">
        <v>2.38660907127429</v>
      </c>
      <c r="H9" s="38">
        <v>1.3044696263441</v>
      </c>
      <c r="J9">
        <f t="shared" si="1"/>
        <v>0.62986774732895556</v>
      </c>
      <c r="N9" s="20">
        <v>120</v>
      </c>
      <c r="O9" s="20">
        <v>2.0710214674046901</v>
      </c>
      <c r="P9" s="20">
        <v>0.68620140269039998</v>
      </c>
      <c r="V9" s="25">
        <v>80</v>
      </c>
      <c r="W9" s="25">
        <v>45</v>
      </c>
      <c r="X9" s="40">
        <v>2.8879671830000002</v>
      </c>
      <c r="Y9" s="39">
        <v>119.10151226885399</v>
      </c>
      <c r="AB9" s="25">
        <v>45</v>
      </c>
      <c r="AC9" s="34">
        <v>2.8844113108083</v>
      </c>
      <c r="AD9" s="34">
        <v>0.41526830968860201</v>
      </c>
      <c r="AE9" s="25">
        <f t="shared" si="0"/>
        <v>0.58473169031139793</v>
      </c>
      <c r="AF9" s="25"/>
    </row>
    <row r="10" spans="6:32">
      <c r="F10" s="20">
        <v>120</v>
      </c>
      <c r="G10" s="38">
        <v>2.6820734341252699</v>
      </c>
      <c r="H10" s="38">
        <v>5.3023642290922002</v>
      </c>
      <c r="J10">
        <f t="shared" si="1"/>
        <v>0.73237560144245673</v>
      </c>
      <c r="N10" s="20">
        <v>120</v>
      </c>
      <c r="O10" s="20">
        <v>7.2399520391570702</v>
      </c>
      <c r="P10" s="20">
        <v>1.11390700195457</v>
      </c>
      <c r="V10" s="25">
        <v>80</v>
      </c>
      <c r="W10" s="25">
        <v>45</v>
      </c>
      <c r="X10" s="40">
        <v>3.1669097540000002</v>
      </c>
      <c r="Y10" s="39">
        <v>134.49406082378201</v>
      </c>
      <c r="AB10" s="25">
        <v>45</v>
      </c>
      <c r="AC10" s="34">
        <v>3.16595321590429</v>
      </c>
      <c r="AD10" s="34">
        <v>0.32970743378189998</v>
      </c>
      <c r="AE10" s="25">
        <f t="shared" si="0"/>
        <v>0.67029256621810007</v>
      </c>
      <c r="AF10" s="25"/>
    </row>
    <row r="11" spans="6:32">
      <c r="F11" s="20">
        <v>120</v>
      </c>
      <c r="G11" s="38">
        <v>2.9619870410367102</v>
      </c>
      <c r="H11" s="38">
        <v>20.7971383737022</v>
      </c>
      <c r="J11">
        <f t="shared" si="1"/>
        <v>0.90312248619567448</v>
      </c>
      <c r="N11" s="20">
        <v>120</v>
      </c>
      <c r="O11" s="20">
        <v>23.028037383177502</v>
      </c>
      <c r="P11" s="20">
        <v>2.99837393032537</v>
      </c>
      <c r="V11" s="25">
        <v>80</v>
      </c>
      <c r="W11" s="25">
        <v>45</v>
      </c>
      <c r="X11" s="40">
        <v>3.3583409299999998</v>
      </c>
      <c r="Y11" s="39">
        <v>136.884986136371</v>
      </c>
      <c r="AB11" s="25">
        <v>45</v>
      </c>
      <c r="AC11" s="34">
        <v>3.3559360891762702</v>
      </c>
      <c r="AD11" s="34">
        <v>0.28872818025528202</v>
      </c>
      <c r="AE11" s="25">
        <f t="shared" si="0"/>
        <v>0.71127181974471798</v>
      </c>
      <c r="AF11" s="25"/>
    </row>
    <row r="12" spans="6:32">
      <c r="F12" s="20">
        <v>120</v>
      </c>
      <c r="G12" s="38">
        <v>3.2146868250539899</v>
      </c>
      <c r="H12" s="38">
        <v>65.797138373702197</v>
      </c>
      <c r="J12">
        <f t="shared" si="1"/>
        <v>0.89610840639369338</v>
      </c>
      <c r="N12" s="20">
        <v>120</v>
      </c>
      <c r="O12" s="20">
        <v>73.425422531741205</v>
      </c>
      <c r="P12" s="20">
        <v>10.6228668101111</v>
      </c>
      <c r="V12" s="25">
        <v>80</v>
      </c>
      <c r="W12" s="25">
        <v>25</v>
      </c>
      <c r="X12" s="39">
        <v>2.46681859617137</v>
      </c>
      <c r="Y12" s="40">
        <v>4.27758196</v>
      </c>
      <c r="AB12" s="25">
        <v>25</v>
      </c>
      <c r="AC12" s="34">
        <v>2.46374379196835</v>
      </c>
      <c r="AD12" s="34">
        <v>0.85677189956808497</v>
      </c>
      <c r="AE12" s="36">
        <f t="shared" si="0"/>
        <v>0.14322810043191503</v>
      </c>
      <c r="AF12" s="25"/>
    </row>
    <row r="13" spans="6:32">
      <c r="F13" s="20">
        <v>120</v>
      </c>
      <c r="G13" s="38">
        <v>3.4596112311015101</v>
      </c>
      <c r="H13" s="38">
        <v>134.19938737340601</v>
      </c>
      <c r="J13">
        <f t="shared" si="1"/>
        <v>0.74163181570220205</v>
      </c>
      <c r="N13" s="20">
        <v>120</v>
      </c>
      <c r="O13" s="20">
        <v>180.951497133846</v>
      </c>
      <c r="P13" s="20">
        <v>21.665062496920299</v>
      </c>
      <c r="V13" s="25">
        <v>80</v>
      </c>
      <c r="W13" s="25">
        <v>25</v>
      </c>
      <c r="X13" s="39">
        <v>2.5488605287146702</v>
      </c>
      <c r="Y13" s="40">
        <v>7.1237886110000002</v>
      </c>
      <c r="AB13" s="25">
        <v>25</v>
      </c>
      <c r="AC13" s="34">
        <v>2.54692299923</v>
      </c>
      <c r="AD13" s="34">
        <v>0.85683706150091798</v>
      </c>
      <c r="AE13" s="36">
        <f t="shared" si="0"/>
        <v>0.14316293849908202</v>
      </c>
      <c r="AF13" s="25"/>
    </row>
    <row r="14" spans="6:32">
      <c r="F14" s="20">
        <v>120</v>
      </c>
      <c r="G14" s="38">
        <v>3.7084233261339001</v>
      </c>
      <c r="H14" s="38">
        <v>143.083052015356</v>
      </c>
      <c r="J14">
        <f t="shared" si="1"/>
        <v>0.52893524448761109</v>
      </c>
      <c r="N14" s="20">
        <v>120</v>
      </c>
      <c r="O14" s="20">
        <v>270.51147282492599</v>
      </c>
      <c r="P14" s="20">
        <v>23.012827882988599</v>
      </c>
      <c r="V14" s="25">
        <v>80</v>
      </c>
      <c r="W14" s="25">
        <v>25</v>
      </c>
      <c r="X14" s="39">
        <v>2.6979033728349999</v>
      </c>
      <c r="Y14" s="40">
        <v>17.53703324</v>
      </c>
      <c r="AB14" s="25">
        <v>25</v>
      </c>
      <c r="AC14" s="34">
        <v>2.6966960727989102</v>
      </c>
      <c r="AD14" s="34">
        <v>0.820526660461802</v>
      </c>
      <c r="AE14" s="36">
        <f t="shared" si="0"/>
        <v>0.179473339538198</v>
      </c>
      <c r="AF14" s="25"/>
    </row>
    <row r="15" spans="6:32">
      <c r="F15" s="41">
        <v>80</v>
      </c>
      <c r="G15" s="38">
        <v>2.47213822894168</v>
      </c>
      <c r="H15" s="38">
        <v>2.5214980978465298</v>
      </c>
      <c r="J15">
        <f>H15/O15</f>
        <v>0.35492488114449505</v>
      </c>
      <c r="N15" s="41">
        <v>80</v>
      </c>
      <c r="O15" s="20">
        <v>7.1043148333688997</v>
      </c>
      <c r="P15" s="20">
        <v>0.68590575365865902</v>
      </c>
      <c r="V15" s="25">
        <v>80</v>
      </c>
      <c r="W15" s="25">
        <v>25</v>
      </c>
      <c r="X15" s="39">
        <v>2.8496809480401</v>
      </c>
      <c r="Y15" s="40">
        <v>33.144653339999998</v>
      </c>
      <c r="AB15" s="25">
        <v>25</v>
      </c>
      <c r="AC15" s="34">
        <v>2.8478831603103001</v>
      </c>
      <c r="AD15" s="34">
        <v>0.76424086891265297</v>
      </c>
      <c r="AE15" s="36">
        <f t="shared" si="0"/>
        <v>0.23575913108734703</v>
      </c>
      <c r="AF15" s="25"/>
    </row>
    <row r="16" spans="6:32">
      <c r="F16" s="41">
        <v>80</v>
      </c>
      <c r="G16" s="38">
        <v>2.5498920086393002</v>
      </c>
      <c r="H16" s="38">
        <v>6.4864301472504096</v>
      </c>
      <c r="J16">
        <f t="shared" si="1"/>
        <v>0.61265911558380337</v>
      </c>
      <c r="N16" s="41">
        <v>80</v>
      </c>
      <c r="O16" s="20">
        <v>10.587339651462599</v>
      </c>
      <c r="P16" s="20">
        <v>1.6288290655847899</v>
      </c>
      <c r="V16" s="25">
        <v>80</v>
      </c>
      <c r="W16" s="25">
        <v>25</v>
      </c>
      <c r="X16" s="39">
        <v>3.0288058340929802</v>
      </c>
      <c r="Y16" s="40">
        <v>64.105503229999997</v>
      </c>
      <c r="AB16" s="25">
        <v>25</v>
      </c>
      <c r="AC16" s="34">
        <v>3.0269090545763699</v>
      </c>
      <c r="AD16" s="34">
        <v>0.62689580498336706</v>
      </c>
      <c r="AE16" s="36">
        <f t="shared" si="0"/>
        <v>0.37310419501663294</v>
      </c>
      <c r="AF16" s="25"/>
    </row>
    <row r="17" spans="6:32">
      <c r="F17" s="41">
        <v>80</v>
      </c>
      <c r="G17" s="38">
        <v>2.70539956803455</v>
      </c>
      <c r="H17" s="38">
        <v>16.429162878765901</v>
      </c>
      <c r="J17">
        <f t="shared" si="1"/>
        <v>0.8988243910211684</v>
      </c>
      <c r="N17" s="41">
        <v>80</v>
      </c>
      <c r="O17" s="20">
        <v>18.278501387907902</v>
      </c>
      <c r="P17" s="20">
        <v>4.0292035543583502</v>
      </c>
      <c r="V17" s="25">
        <v>80</v>
      </c>
      <c r="W17" s="25">
        <v>25</v>
      </c>
      <c r="X17" s="39">
        <v>3.1901549680948</v>
      </c>
      <c r="Y17" s="40">
        <v>87.036084110000004</v>
      </c>
      <c r="AB17" s="25">
        <v>25</v>
      </c>
      <c r="AC17" s="34">
        <v>3.1864987733266101</v>
      </c>
      <c r="AD17" s="34">
        <v>0.50951201314533301</v>
      </c>
      <c r="AE17" s="36">
        <f t="shared" si="0"/>
        <v>0.49048798685466699</v>
      </c>
      <c r="AF17" s="25"/>
    </row>
    <row r="18" spans="6:32">
      <c r="F18" s="41">
        <v>80</v>
      </c>
      <c r="G18" s="38">
        <v>2.8570194384449201</v>
      </c>
      <c r="H18" s="38">
        <v>32.805632922020401</v>
      </c>
      <c r="J18">
        <f>H18/O18</f>
        <v>0.88910197477391817</v>
      </c>
      <c r="N18" s="41">
        <v>80</v>
      </c>
      <c r="O18" s="20">
        <v>36.897491910713903</v>
      </c>
      <c r="P18" s="20">
        <v>7.45735262717014</v>
      </c>
      <c r="V18" s="25">
        <v>80</v>
      </c>
      <c r="W18" s="25">
        <v>25</v>
      </c>
      <c r="X18" s="39">
        <v>3.377484047402</v>
      </c>
      <c r="Y18" s="40">
        <v>98.63576741</v>
      </c>
      <c r="AB18" s="25">
        <v>25</v>
      </c>
      <c r="AC18" s="34">
        <v>3.3821295571269201</v>
      </c>
      <c r="AD18" s="34">
        <v>0.394506631855714</v>
      </c>
      <c r="AE18" s="36">
        <f t="shared" si="0"/>
        <v>0.605493368144286</v>
      </c>
      <c r="AF18" s="25"/>
    </row>
    <row r="19" spans="6:32">
      <c r="F19" s="41">
        <v>80</v>
      </c>
      <c r="G19" s="38">
        <v>3.0319654427645699</v>
      </c>
      <c r="H19" s="38">
        <v>63.1265959849217</v>
      </c>
      <c r="J19">
        <f t="shared" si="1"/>
        <v>0.84755987715537517</v>
      </c>
      <c r="N19" s="41">
        <v>80</v>
      </c>
      <c r="O19" s="20">
        <v>74.4803968267003</v>
      </c>
      <c r="P19" s="20">
        <v>14.399388992001001</v>
      </c>
      <c r="V19" s="25">
        <v>80</v>
      </c>
      <c r="W19" s="25">
        <v>25</v>
      </c>
      <c r="X19" s="39">
        <v>3.6099361896080202</v>
      </c>
      <c r="Y19" s="40">
        <v>77.656729900000002</v>
      </c>
      <c r="AB19" s="25">
        <v>25</v>
      </c>
      <c r="AC19" s="34">
        <v>3.60802317158331</v>
      </c>
      <c r="AD19" s="34">
        <v>0.44991273731161402</v>
      </c>
      <c r="AE19" s="36">
        <f t="shared" si="0"/>
        <v>0.55008726268838593</v>
      </c>
      <c r="AF19" s="25"/>
    </row>
    <row r="20" spans="6:32">
      <c r="F20" s="41">
        <v>80</v>
      </c>
      <c r="G20" s="38">
        <v>3.1952483801295801</v>
      </c>
      <c r="H20" s="38">
        <v>85.939119508508995</v>
      </c>
      <c r="J20">
        <f t="shared" si="1"/>
        <v>0.76461075742168561</v>
      </c>
      <c r="N20" s="41">
        <v>80</v>
      </c>
      <c r="O20" s="20">
        <v>112.395906903404</v>
      </c>
      <c r="P20" s="20">
        <v>19.281244353924698</v>
      </c>
      <c r="X20" s="50" t="s">
        <v>72</v>
      </c>
      <c r="Y20" s="50" t="s">
        <v>7</v>
      </c>
    </row>
    <row r="21" spans="6:32">
      <c r="F21" s="41">
        <v>80</v>
      </c>
      <c r="G21" s="38">
        <v>3.3838012958963199</v>
      </c>
      <c r="H21" s="38">
        <v>97.763449701503703</v>
      </c>
      <c r="J21">
        <f t="shared" si="1"/>
        <v>0.7038063000826138</v>
      </c>
      <c r="N21" s="41">
        <v>80</v>
      </c>
      <c r="O21" s="20">
        <v>138.90675558037501</v>
      </c>
      <c r="P21" s="20">
        <v>17.471083882200201</v>
      </c>
      <c r="V21" s="30">
        <v>80</v>
      </c>
      <c r="W21" s="30">
        <v>60</v>
      </c>
      <c r="X21" s="39">
        <v>2.3765724703737399</v>
      </c>
      <c r="Y21" s="30">
        <v>1.8270475719604902</v>
      </c>
      <c r="Z21">
        <f>Y21*0.01</f>
        <v>1.8270475719604901E-2</v>
      </c>
    </row>
    <row r="22" spans="6:32">
      <c r="F22" s="41">
        <v>80</v>
      </c>
      <c r="G22" s="38">
        <v>3.6112311015118701</v>
      </c>
      <c r="H22" s="38">
        <v>77.958181576036907</v>
      </c>
      <c r="J22">
        <f t="shared" si="1"/>
        <v>0.5105044102870262</v>
      </c>
      <c r="N22" s="41">
        <v>80</v>
      </c>
      <c r="O22" s="20">
        <v>152.70814513082399</v>
      </c>
      <c r="P22" s="20">
        <v>21.673143570454702</v>
      </c>
      <c r="V22" s="25">
        <v>80</v>
      </c>
      <c r="W22" s="30">
        <v>60</v>
      </c>
      <c r="X22" s="39">
        <v>2.6486782133090201</v>
      </c>
      <c r="Y22" s="30">
        <v>11.3740710412063</v>
      </c>
      <c r="Z22">
        <f t="shared" ref="Z22:Z38" si="2">Y22*0.01</f>
        <v>0.113740710412063</v>
      </c>
      <c r="AC22" t="s">
        <v>72</v>
      </c>
      <c r="AD22" s="50" t="s">
        <v>73</v>
      </c>
      <c r="AE22" s="50" t="s">
        <v>68</v>
      </c>
      <c r="AF22" t="s">
        <v>7</v>
      </c>
    </row>
    <row r="23" spans="6:32">
      <c r="F23" s="25">
        <v>30</v>
      </c>
      <c r="G23" s="38">
        <v>2.2796976241900602</v>
      </c>
      <c r="H23" s="38">
        <v>1.08425642302503</v>
      </c>
      <c r="J23">
        <f t="shared" si="1"/>
        <v>0.39272284968191573</v>
      </c>
      <c r="N23" s="25">
        <v>30</v>
      </c>
      <c r="O23" s="20">
        <v>2.7608692081533301</v>
      </c>
      <c r="P23" s="20">
        <v>0.85767784110507195</v>
      </c>
      <c r="V23" s="25">
        <v>80</v>
      </c>
      <c r="W23" s="30">
        <v>60</v>
      </c>
      <c r="X23" s="39">
        <v>2.87155879671832</v>
      </c>
      <c r="Y23" s="30">
        <v>30.957217681504201</v>
      </c>
      <c r="Z23">
        <f t="shared" si="2"/>
        <v>0.30957217681504201</v>
      </c>
      <c r="AB23" s="25">
        <v>60</v>
      </c>
      <c r="AC23" s="34">
        <v>2.38025830258302</v>
      </c>
      <c r="AD23" s="34">
        <v>5.7900746056829003E-2</v>
      </c>
      <c r="AE23" s="44">
        <v>0.69571549431299196</v>
      </c>
      <c r="AF23">
        <f>1-AD23-AE23</f>
        <v>0.246383759630179</v>
      </c>
    </row>
    <row r="24" spans="6:32">
      <c r="F24" s="25">
        <v>30</v>
      </c>
      <c r="G24" s="38">
        <v>2.4468682505399499</v>
      </c>
      <c r="H24" s="38">
        <v>4.0582168976079904</v>
      </c>
      <c r="J24">
        <f t="shared" si="1"/>
        <v>0.73397029194387842</v>
      </c>
      <c r="N24" s="25">
        <v>30</v>
      </c>
      <c r="O24" s="20">
        <v>5.5291296421004104</v>
      </c>
      <c r="P24" s="20">
        <v>3.0886454346861898</v>
      </c>
      <c r="V24" s="25">
        <v>80</v>
      </c>
      <c r="W24" s="30">
        <v>60</v>
      </c>
      <c r="X24" s="39">
        <v>3.0821330902461201</v>
      </c>
      <c r="Y24" s="30">
        <v>40.032445962022699</v>
      </c>
      <c r="Z24">
        <f t="shared" si="2"/>
        <v>0.400324459620227</v>
      </c>
      <c r="AB24" s="25">
        <v>60</v>
      </c>
      <c r="AC24" s="34">
        <v>2.6500922509225</v>
      </c>
      <c r="AD24" s="34">
        <v>0.17719802915595101</v>
      </c>
      <c r="AE24" s="34">
        <v>0.54551398103570503</v>
      </c>
      <c r="AF24">
        <f t="shared" ref="AF24:AF40" si="3">1-AD24-AE24</f>
        <v>0.27728798980834402</v>
      </c>
    </row>
    <row r="25" spans="6:32">
      <c r="F25" s="25">
        <v>30</v>
      </c>
      <c r="G25" s="38">
        <v>2.5596112311015098</v>
      </c>
      <c r="H25" s="38">
        <v>7.82836032634816</v>
      </c>
      <c r="J25">
        <f t="shared" si="1"/>
        <v>0.78115524592562124</v>
      </c>
      <c r="N25" s="25">
        <v>30</v>
      </c>
      <c r="O25" s="20">
        <v>10.0215166795328</v>
      </c>
      <c r="P25" s="20">
        <v>5.6624673554194001</v>
      </c>
      <c r="V25" s="25">
        <v>80</v>
      </c>
      <c r="W25" s="30">
        <v>60</v>
      </c>
      <c r="X25" s="39">
        <v>3.26262534184138</v>
      </c>
      <c r="Y25" s="30">
        <v>37.312423713363003</v>
      </c>
      <c r="Z25">
        <f t="shared" si="2"/>
        <v>0.37312423713363002</v>
      </c>
      <c r="AB25" s="25">
        <v>60</v>
      </c>
      <c r="AC25" s="34">
        <v>2.8714944649446399</v>
      </c>
      <c r="AD25" s="34">
        <v>0.37018145152748799</v>
      </c>
      <c r="AE25" s="34">
        <v>0.25074094547792403</v>
      </c>
      <c r="AF25">
        <f t="shared" si="3"/>
        <v>0.37907760299458804</v>
      </c>
    </row>
    <row r="26" spans="6:32">
      <c r="F26" s="25">
        <v>30</v>
      </c>
      <c r="G26" s="38">
        <v>2.70539956803455</v>
      </c>
      <c r="H26" s="38">
        <v>18.573934996728301</v>
      </c>
      <c r="J26">
        <f t="shared" si="1"/>
        <v>0.79068996735105923</v>
      </c>
      <c r="N26" s="25">
        <v>30</v>
      </c>
      <c r="O26" s="20">
        <v>23.4907938176502</v>
      </c>
      <c r="P26" s="20">
        <v>12.0105448154657</v>
      </c>
      <c r="V26" s="25">
        <v>80</v>
      </c>
      <c r="W26" s="25">
        <v>45</v>
      </c>
      <c r="X26" s="40">
        <v>2.3779398359999999</v>
      </c>
      <c r="Y26" s="30">
        <v>1.2846128999999999</v>
      </c>
      <c r="Z26">
        <f t="shared" si="2"/>
        <v>1.2846129E-2</v>
      </c>
      <c r="AB26" s="25">
        <v>60</v>
      </c>
      <c r="AC26" s="34">
        <v>3.0832103321033202</v>
      </c>
      <c r="AD26" s="34">
        <v>0.52733952999690703</v>
      </c>
      <c r="AE26" s="34">
        <v>2.0590084743093501E-2</v>
      </c>
      <c r="AF26">
        <f t="shared" si="3"/>
        <v>0.45207038525999949</v>
      </c>
    </row>
    <row r="27" spans="6:32">
      <c r="F27" s="25">
        <v>30</v>
      </c>
      <c r="G27" s="38">
        <v>2.8570194384449201</v>
      </c>
      <c r="H27" s="38">
        <v>35.2185015547281</v>
      </c>
      <c r="J27">
        <f t="shared" si="1"/>
        <v>0.80276749337575726</v>
      </c>
      <c r="N27" s="25">
        <v>30</v>
      </c>
      <c r="O27" s="20">
        <v>43.871359821296501</v>
      </c>
      <c r="P27" s="20">
        <v>22.3051426506578</v>
      </c>
      <c r="V27" s="25">
        <v>80</v>
      </c>
      <c r="W27" s="25">
        <v>45</v>
      </c>
      <c r="X27" s="40">
        <v>2.658249772</v>
      </c>
      <c r="Y27" s="30">
        <v>9.6109265999999991</v>
      </c>
      <c r="Z27">
        <f t="shared" si="2"/>
        <v>9.6109265999999999E-2</v>
      </c>
      <c r="AB27" s="25">
        <v>60</v>
      </c>
      <c r="AC27" s="34">
        <v>3.2630996309963098</v>
      </c>
      <c r="AD27" s="34">
        <v>0.53155532301591601</v>
      </c>
      <c r="AE27" s="34">
        <v>2.8956876918883E-2</v>
      </c>
      <c r="AF27">
        <f t="shared" si="3"/>
        <v>0.439487800065201</v>
      </c>
    </row>
    <row r="28" spans="6:32">
      <c r="F28" s="25">
        <v>30</v>
      </c>
      <c r="G28" s="38">
        <v>3.0902807775377901</v>
      </c>
      <c r="H28" s="38">
        <v>58.041447836987999</v>
      </c>
      <c r="J28">
        <f t="shared" si="1"/>
        <v>0.66708904972567706</v>
      </c>
      <c r="N28" s="25">
        <v>30</v>
      </c>
      <c r="O28" s="20">
        <v>87.007046301923296</v>
      </c>
      <c r="P28" s="20">
        <v>36.541727575842103</v>
      </c>
      <c r="V28" s="25">
        <v>80</v>
      </c>
      <c r="W28" s="25">
        <v>45</v>
      </c>
      <c r="X28" s="40">
        <v>2.8879671830000002</v>
      </c>
      <c r="Y28" s="30">
        <v>26.685289600000001</v>
      </c>
      <c r="Z28">
        <f t="shared" si="2"/>
        <v>0.26685289600000001</v>
      </c>
      <c r="AB28" s="25">
        <v>45</v>
      </c>
      <c r="AC28" s="34">
        <v>2.38025830258302</v>
      </c>
      <c r="AD28" s="34">
        <v>2.0013260408149301E-2</v>
      </c>
      <c r="AE28" s="34">
        <v>0.84965404443826598</v>
      </c>
      <c r="AF28">
        <f t="shared" si="3"/>
        <v>0.1303326951535847</v>
      </c>
    </row>
    <row r="29" spans="6:32">
      <c r="F29" s="25">
        <v>30</v>
      </c>
      <c r="G29" s="38">
        <v>3.2166306695464302</v>
      </c>
      <c r="H29" s="38">
        <v>61.277424883757199</v>
      </c>
      <c r="J29">
        <f t="shared" si="1"/>
        <v>0.62501733263603354</v>
      </c>
      <c r="N29" s="25">
        <v>30</v>
      </c>
      <c r="O29" s="20">
        <v>98.041160915198006</v>
      </c>
      <c r="P29" s="20">
        <v>38.6844932082847</v>
      </c>
      <c r="V29" s="25">
        <v>80</v>
      </c>
      <c r="W29" s="25">
        <v>45</v>
      </c>
      <c r="X29" s="40">
        <v>3.1669097540000002</v>
      </c>
      <c r="Y29" s="30">
        <v>30.265902400000002</v>
      </c>
      <c r="Z29">
        <f t="shared" si="2"/>
        <v>0.302659024</v>
      </c>
      <c r="AB29" s="25">
        <v>45</v>
      </c>
      <c r="AC29" s="34">
        <v>2.6611623616236102</v>
      </c>
      <c r="AD29" s="34">
        <v>7.9384513707364407E-2</v>
      </c>
      <c r="AE29" s="34">
        <v>0.73588999796911903</v>
      </c>
      <c r="AF29">
        <f t="shared" si="3"/>
        <v>0.18472548832351654</v>
      </c>
    </row>
    <row r="30" spans="6:32">
      <c r="F30" s="25">
        <v>30</v>
      </c>
      <c r="G30" s="38">
        <v>3.4751619870410302</v>
      </c>
      <c r="H30" s="38">
        <v>42.8172716692047</v>
      </c>
      <c r="J30">
        <f t="shared" si="1"/>
        <v>0.31042171427301268</v>
      </c>
      <c r="N30" s="25">
        <v>30</v>
      </c>
      <c r="O30" s="20">
        <v>137.93259202076101</v>
      </c>
      <c r="P30" s="20">
        <v>27.771791797381798</v>
      </c>
      <c r="V30" s="25">
        <v>80</v>
      </c>
      <c r="W30" s="25">
        <v>45</v>
      </c>
      <c r="X30" s="40">
        <v>3.3583409299999998</v>
      </c>
      <c r="Y30" s="30">
        <v>30.5962332</v>
      </c>
      <c r="Z30">
        <f t="shared" si="2"/>
        <v>0.305962332</v>
      </c>
      <c r="AB30" s="25">
        <v>45</v>
      </c>
      <c r="AC30" s="34">
        <v>2.89086715867158</v>
      </c>
      <c r="AD30" s="34">
        <v>0.30199287411932602</v>
      </c>
      <c r="AE30" s="34">
        <v>0.41526830968860201</v>
      </c>
      <c r="AF30">
        <f t="shared" si="3"/>
        <v>0.28273881619207192</v>
      </c>
    </row>
    <row r="31" spans="6:32">
      <c r="F31" s="25">
        <v>15</v>
      </c>
      <c r="G31" s="38">
        <v>2.39049676025917</v>
      </c>
      <c r="H31" s="38">
        <v>2.1731451832378901</v>
      </c>
      <c r="J31">
        <f t="shared" si="1"/>
        <v>0.37017401989556414</v>
      </c>
      <c r="N31" s="25">
        <v>15</v>
      </c>
      <c r="O31" s="20">
        <v>5.8706042737709998</v>
      </c>
      <c r="P31" s="20">
        <v>2.5735262717014602</v>
      </c>
      <c r="V31" s="25">
        <v>80</v>
      </c>
      <c r="W31" s="25">
        <v>25</v>
      </c>
      <c r="X31" s="39">
        <v>2.46681859617137</v>
      </c>
      <c r="Y31" s="30">
        <v>0.94161271881711905</v>
      </c>
      <c r="Z31">
        <f t="shared" si="2"/>
        <v>9.4161271881711903E-3</v>
      </c>
      <c r="AB31" s="25">
        <v>45</v>
      </c>
      <c r="AC31" s="34">
        <v>3.1717712177121702</v>
      </c>
      <c r="AD31" s="34">
        <v>0.29592210675264002</v>
      </c>
      <c r="AE31" s="34">
        <v>0.32970743378189998</v>
      </c>
      <c r="AF31">
        <f t="shared" si="3"/>
        <v>0.37437045946545994</v>
      </c>
    </row>
    <row r="32" spans="6:32">
      <c r="F32" s="25">
        <v>15</v>
      </c>
      <c r="G32" s="38">
        <v>2.6820734341252699</v>
      </c>
      <c r="H32" s="38">
        <v>12.404240904695399</v>
      </c>
      <c r="J32">
        <f t="shared" si="1"/>
        <v>0.56903591778036888</v>
      </c>
      <c r="N32" s="25">
        <v>15</v>
      </c>
      <c r="O32" s="20">
        <v>21.798695859271</v>
      </c>
      <c r="P32" s="20">
        <v>17.247080465811401</v>
      </c>
      <c r="V32" s="25">
        <v>80</v>
      </c>
      <c r="W32" s="25">
        <v>25</v>
      </c>
      <c r="X32" s="39">
        <v>2.5488605287146702</v>
      </c>
      <c r="Y32" s="30">
        <v>1.88705715124453</v>
      </c>
      <c r="Z32">
        <f t="shared" si="2"/>
        <v>1.8870571512445301E-2</v>
      </c>
      <c r="AB32" s="25">
        <v>45</v>
      </c>
      <c r="AC32" s="34">
        <v>3.3599630996309902</v>
      </c>
      <c r="AD32" s="34">
        <v>0.29394194228968601</v>
      </c>
      <c r="AE32" s="34">
        <v>0.28872818025528202</v>
      </c>
      <c r="AF32">
        <f t="shared" si="3"/>
        <v>0.41732987745503192</v>
      </c>
    </row>
    <row r="33" spans="6:36">
      <c r="F33" s="25">
        <v>15</v>
      </c>
      <c r="G33" s="38">
        <v>2.8336933045356298</v>
      </c>
      <c r="H33" s="38">
        <v>25.0273597415155</v>
      </c>
      <c r="J33">
        <f t="shared" si="1"/>
        <v>0.7015962387042618</v>
      </c>
      <c r="N33" s="25">
        <v>15</v>
      </c>
      <c r="O33" s="20">
        <v>35.672026674112601</v>
      </c>
      <c r="P33" s="20">
        <v>33.981308411214897</v>
      </c>
      <c r="V33" s="25">
        <v>80</v>
      </c>
      <c r="W33" s="25">
        <v>25</v>
      </c>
      <c r="X33" s="39">
        <v>2.6979033728349999</v>
      </c>
      <c r="Y33" s="30">
        <v>3.9142190565950195</v>
      </c>
      <c r="Z33">
        <f t="shared" si="2"/>
        <v>3.9142190565950197E-2</v>
      </c>
      <c r="AB33" s="25">
        <v>25</v>
      </c>
      <c r="AC33" s="34">
        <v>2.4674354243542398</v>
      </c>
      <c r="AD33" s="34">
        <v>1.6608978948572301E-2</v>
      </c>
      <c r="AE33" s="34">
        <v>0.85677189956808497</v>
      </c>
      <c r="AF33">
        <f t="shared" si="3"/>
        <v>0.12661912148334276</v>
      </c>
    </row>
    <row r="34" spans="6:36">
      <c r="F34" s="25">
        <v>15</v>
      </c>
      <c r="G34" s="38">
        <v>2.97170626349891</v>
      </c>
      <c r="H34" s="38">
        <v>32.018425121164498</v>
      </c>
      <c r="J34">
        <f t="shared" si="1"/>
        <v>0.63793967309125077</v>
      </c>
      <c r="N34" s="25">
        <v>15</v>
      </c>
      <c r="O34" s="20">
        <v>50.190365126554198</v>
      </c>
      <c r="P34" s="20">
        <v>43.0758668265361</v>
      </c>
      <c r="V34" s="25">
        <v>80</v>
      </c>
      <c r="W34" s="25">
        <v>25</v>
      </c>
      <c r="X34" s="39">
        <v>2.8496809480401</v>
      </c>
      <c r="Y34" s="30">
        <v>7.5005793921789703</v>
      </c>
      <c r="Z34">
        <f t="shared" si="2"/>
        <v>7.5005793921789701E-2</v>
      </c>
      <c r="AB34" s="25">
        <v>25</v>
      </c>
      <c r="AC34" s="34">
        <v>2.5490774907748999</v>
      </c>
      <c r="AD34" s="34">
        <v>3.2490330069775898E-2</v>
      </c>
      <c r="AE34" s="34">
        <v>0.85683706150091798</v>
      </c>
      <c r="AF34">
        <f t="shared" si="3"/>
        <v>0.11067260842930615</v>
      </c>
    </row>
    <row r="35" spans="6:36">
      <c r="F35" s="25">
        <v>15</v>
      </c>
      <c r="G35" s="38">
        <v>3.15053995680345</v>
      </c>
      <c r="H35" s="38">
        <v>31.240771515758599</v>
      </c>
      <c r="J35">
        <f t="shared" si="1"/>
        <v>0.36469460544692223</v>
      </c>
      <c r="N35" s="25">
        <v>15</v>
      </c>
      <c r="O35" s="20">
        <v>85.662828704235906</v>
      </c>
      <c r="P35" s="20">
        <v>42.379022058702702</v>
      </c>
      <c r="V35" s="25">
        <v>80</v>
      </c>
      <c r="W35" s="25">
        <v>25</v>
      </c>
      <c r="X35" s="39">
        <v>3.0288058340929802</v>
      </c>
      <c r="Y35" s="30">
        <v>14.475534199588999</v>
      </c>
      <c r="Z35">
        <f t="shared" si="2"/>
        <v>0.14475534199588999</v>
      </c>
      <c r="AB35" s="25">
        <v>25</v>
      </c>
      <c r="AC35" s="34">
        <v>2.70129151291512</v>
      </c>
      <c r="AD35" s="34">
        <v>5.1848407691884001E-2</v>
      </c>
      <c r="AE35" s="34">
        <v>0.820526660461802</v>
      </c>
      <c r="AF35">
        <f t="shared" si="3"/>
        <v>0.12762493184631396</v>
      </c>
    </row>
    <row r="36" spans="6:36">
      <c r="V36" s="25">
        <v>80</v>
      </c>
      <c r="W36" s="25">
        <v>25</v>
      </c>
      <c r="X36" s="39">
        <v>3.1901549680948</v>
      </c>
      <c r="Y36" s="30">
        <v>19.620783956244299</v>
      </c>
      <c r="Z36">
        <f t="shared" si="2"/>
        <v>0.196207839562443</v>
      </c>
      <c r="AB36" s="25">
        <v>25</v>
      </c>
      <c r="AC36" s="34">
        <v>2.8479704797047898</v>
      </c>
      <c r="AD36" s="34">
        <v>8.4292347515897606E-2</v>
      </c>
      <c r="AE36" s="34">
        <v>0.76424086891265297</v>
      </c>
      <c r="AF36">
        <f t="shared" si="3"/>
        <v>0.15146678357144938</v>
      </c>
    </row>
    <row r="37" spans="6:36">
      <c r="V37" s="25">
        <v>80</v>
      </c>
      <c r="W37" s="25">
        <v>25</v>
      </c>
      <c r="X37" s="39">
        <v>3.377484047402</v>
      </c>
      <c r="Y37" s="30">
        <v>22.052995071303798</v>
      </c>
      <c r="Z37">
        <f t="shared" si="2"/>
        <v>0.22052995071303799</v>
      </c>
      <c r="AB37" s="25">
        <v>25</v>
      </c>
      <c r="AC37" s="34">
        <v>3.0320110701107001</v>
      </c>
      <c r="AD37" s="34">
        <v>0.16704047178244399</v>
      </c>
      <c r="AE37" s="34">
        <v>0.62689580498336706</v>
      </c>
      <c r="AF37">
        <f t="shared" si="3"/>
        <v>0.20606372323418898</v>
      </c>
    </row>
    <row r="38" spans="6:36">
      <c r="V38" s="25">
        <v>80</v>
      </c>
      <c r="W38" s="25">
        <v>25</v>
      </c>
      <c r="X38" s="39">
        <v>3.6099361896080202</v>
      </c>
      <c r="Y38" s="30">
        <v>17.567912488605199</v>
      </c>
      <c r="Z38">
        <f t="shared" si="2"/>
        <v>0.175679124886052</v>
      </c>
      <c r="AB38" s="25">
        <v>25</v>
      </c>
      <c r="AC38" s="34">
        <v>3.1925276752767502</v>
      </c>
      <c r="AD38" s="34">
        <v>0.24977779284107399</v>
      </c>
      <c r="AE38" s="34">
        <v>0.50951201314533301</v>
      </c>
      <c r="AF38">
        <f t="shared" si="3"/>
        <v>0.24071019401359295</v>
      </c>
    </row>
    <row r="39" spans="6:36">
      <c r="AB39" s="25">
        <v>25</v>
      </c>
      <c r="AC39" s="34">
        <v>3.3807195571955702</v>
      </c>
      <c r="AD39" s="34">
        <v>0.338727593934951</v>
      </c>
      <c r="AE39" s="34">
        <v>0.394506631855714</v>
      </c>
      <c r="AF39">
        <f t="shared" si="3"/>
        <v>0.266765774209335</v>
      </c>
    </row>
    <row r="40" spans="6:36">
      <c r="AB40" s="25">
        <v>25</v>
      </c>
      <c r="AC40" s="34">
        <v>3.61457564575645</v>
      </c>
      <c r="AD40" s="34">
        <v>0.32023567939468101</v>
      </c>
      <c r="AE40" s="34">
        <v>0.44991273731161402</v>
      </c>
      <c r="AF40">
        <f t="shared" si="3"/>
        <v>0.22985158329370498</v>
      </c>
    </row>
    <row r="41" spans="6:36">
      <c r="J41" s="50" t="s">
        <v>59</v>
      </c>
      <c r="K41" s="50" t="s">
        <v>76</v>
      </c>
    </row>
    <row r="42" spans="6:36">
      <c r="I42">
        <v>160</v>
      </c>
      <c r="J42" s="49">
        <v>6.1363356784273</v>
      </c>
      <c r="K42" s="49">
        <v>7.3055749190151698</v>
      </c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</row>
    <row r="43" spans="6:36">
      <c r="I43">
        <v>160</v>
      </c>
      <c r="J43" s="49">
        <v>29.927421197228</v>
      </c>
      <c r="K43" s="49">
        <v>9.3209400683025692</v>
      </c>
      <c r="U43" s="51"/>
      <c r="V43" s="50" t="s">
        <v>3</v>
      </c>
      <c r="W43" s="50" t="s">
        <v>58</v>
      </c>
      <c r="X43" s="50" t="s">
        <v>72</v>
      </c>
      <c r="Y43" s="50" t="s">
        <v>77</v>
      </c>
      <c r="Z43" s="37" t="s">
        <v>64</v>
      </c>
      <c r="AA43" s="50" t="s">
        <v>73</v>
      </c>
      <c r="AB43" s="52" t="s">
        <v>9</v>
      </c>
      <c r="AC43" s="25" t="s">
        <v>69</v>
      </c>
      <c r="AD43" s="50" t="s">
        <v>78</v>
      </c>
    </row>
    <row r="44" spans="6:36">
      <c r="I44">
        <v>160</v>
      </c>
      <c r="J44" s="49">
        <v>63.065883276414503</v>
      </c>
      <c r="K44" s="49">
        <v>23.540820450937499</v>
      </c>
      <c r="U44" s="51"/>
      <c r="V44" s="30">
        <v>80</v>
      </c>
      <c r="W44" s="30">
        <v>60</v>
      </c>
      <c r="X44" s="39">
        <v>2.3765724703737399</v>
      </c>
      <c r="Y44" s="30">
        <v>3.8270475719604902E-2</v>
      </c>
      <c r="Z44" s="40">
        <v>8.5130520070000006</v>
      </c>
      <c r="AA44" s="34">
        <v>5.7900746056829003E-2</v>
      </c>
      <c r="AB44">
        <f>Y44/(Y44+AA44)</f>
        <v>0.39794103696187855</v>
      </c>
      <c r="AC44" s="25">
        <f t="shared" ref="AC44:AC61" si="4">1-AB44</f>
        <v>0.60205896303812145</v>
      </c>
      <c r="AD44">
        <f>Y44/AC44</f>
        <v>6.3565992816523642E-2</v>
      </c>
    </row>
    <row r="45" spans="6:36">
      <c r="I45">
        <v>160</v>
      </c>
      <c r="J45" s="49">
        <v>190.78278494062999</v>
      </c>
      <c r="K45" s="49">
        <v>45.433557298592298</v>
      </c>
      <c r="U45" s="51"/>
      <c r="V45" s="25">
        <v>80</v>
      </c>
      <c r="W45" s="30">
        <v>60</v>
      </c>
      <c r="X45" s="39">
        <v>2.6486782133090201</v>
      </c>
      <c r="Y45" s="30">
        <v>0.123740710412063</v>
      </c>
      <c r="Z45" s="40">
        <v>50.822417719999997</v>
      </c>
      <c r="AA45" s="34">
        <v>0.17719802915595101</v>
      </c>
      <c r="AB45">
        <f t="shared" ref="AB45:AB61" si="5">Y45/(Y45+AA45)</f>
        <v>0.41118239077390983</v>
      </c>
      <c r="AC45" s="25">
        <f t="shared" si="4"/>
        <v>0.58881760922609017</v>
      </c>
      <c r="AD45">
        <f t="shared" ref="AD45:AD61" si="6">Y45/AC45</f>
        <v>0.21015117155667451</v>
      </c>
    </row>
    <row r="46" spans="6:36">
      <c r="I46">
        <v>160</v>
      </c>
      <c r="J46" s="49">
        <v>209.28563478627601</v>
      </c>
      <c r="K46" s="49">
        <v>47.294790611032603</v>
      </c>
      <c r="U46" s="51"/>
      <c r="V46" s="25">
        <v>80</v>
      </c>
      <c r="W46" s="30">
        <v>60</v>
      </c>
      <c r="X46" s="39">
        <v>2.87155879671832</v>
      </c>
      <c r="Y46" s="30">
        <v>0.32572176815041998</v>
      </c>
      <c r="Z46" s="40">
        <v>137.28053729999999</v>
      </c>
      <c r="AA46" s="34">
        <v>0.37018145152748799</v>
      </c>
      <c r="AB46">
        <f t="shared" si="5"/>
        <v>0.46805613042166566</v>
      </c>
      <c r="AC46" s="25">
        <f t="shared" si="4"/>
        <v>0.53194386957833428</v>
      </c>
      <c r="AD46">
        <f t="shared" si="6"/>
        <v>0.61232356791444154</v>
      </c>
    </row>
    <row r="47" spans="6:36">
      <c r="I47">
        <v>160</v>
      </c>
      <c r="J47" s="49">
        <v>211.045802555195</v>
      </c>
      <c r="K47" s="49">
        <v>47.916343996579002</v>
      </c>
      <c r="U47" s="51"/>
      <c r="V47" s="25">
        <v>80</v>
      </c>
      <c r="W47" s="30">
        <v>60</v>
      </c>
      <c r="X47" s="39">
        <v>3.0821330902461201</v>
      </c>
      <c r="Y47" s="30">
        <v>0.42032445962022702</v>
      </c>
      <c r="Z47" s="40">
        <v>177.69164409999999</v>
      </c>
      <c r="AA47" s="34">
        <v>0.52733952999690703</v>
      </c>
      <c r="AB47">
        <f t="shared" si="5"/>
        <v>0.44353743966787468</v>
      </c>
      <c r="AC47" s="25">
        <f t="shared" si="4"/>
        <v>0.55646256033212538</v>
      </c>
      <c r="AD47">
        <f t="shared" si="6"/>
        <v>0.75535083504873324</v>
      </c>
    </row>
    <row r="48" spans="6:36">
      <c r="I48">
        <v>160</v>
      </c>
      <c r="J48" s="49">
        <v>265.94103484836899</v>
      </c>
      <c r="K48" s="49">
        <v>59.176040208305203</v>
      </c>
      <c r="U48" s="51"/>
      <c r="V48" s="25">
        <v>80</v>
      </c>
      <c r="W48" s="30">
        <v>60</v>
      </c>
      <c r="X48" s="39">
        <v>3.26262534184138</v>
      </c>
      <c r="Y48" s="30">
        <v>0.37312423713363002</v>
      </c>
      <c r="Z48" s="40">
        <v>165.91319999999999</v>
      </c>
      <c r="AA48" s="34">
        <v>0.53155532301591601</v>
      </c>
      <c r="AB48">
        <f t="shared" si="5"/>
        <v>0.41243800962182847</v>
      </c>
      <c r="AC48" s="25">
        <f t="shared" si="4"/>
        <v>0.58756199037817147</v>
      </c>
      <c r="AD48">
        <f t="shared" si="6"/>
        <v>0.63503807809874957</v>
      </c>
    </row>
    <row r="49" spans="21:30">
      <c r="U49" s="51"/>
      <c r="V49" s="25">
        <v>80</v>
      </c>
      <c r="W49" s="25">
        <v>45</v>
      </c>
      <c r="X49" s="40">
        <v>2.3779398359999999</v>
      </c>
      <c r="Y49" s="30">
        <v>2.2846129E-2</v>
      </c>
      <c r="Z49" s="39">
        <v>5.20748173986658</v>
      </c>
      <c r="AA49" s="34">
        <v>2.0013260408149301E-2</v>
      </c>
      <c r="AB49">
        <f t="shared" si="5"/>
        <v>0.53304840119014918</v>
      </c>
      <c r="AC49" s="25">
        <f t="shared" si="4"/>
        <v>0.46695159880985082</v>
      </c>
      <c r="AD49">
        <f t="shared" si="6"/>
        <v>4.8926117949332174E-2</v>
      </c>
    </row>
    <row r="50" spans="21:30">
      <c r="U50" s="51"/>
      <c r="V50" s="25">
        <v>80</v>
      </c>
      <c r="W50" s="25">
        <v>45</v>
      </c>
      <c r="X50" s="40">
        <v>2.658249772</v>
      </c>
      <c r="Y50" s="30">
        <v>9.6109265999999999E-2</v>
      </c>
      <c r="Z50" s="39">
        <v>42.796445840535497</v>
      </c>
      <c r="AA50" s="34">
        <v>7.9384513707364407E-2</v>
      </c>
      <c r="AB50">
        <f>Y50/(Y50+AA50)</f>
        <v>0.54765055582176214</v>
      </c>
      <c r="AC50" s="25">
        <f t="shared" si="4"/>
        <v>0.45234944417823786</v>
      </c>
      <c r="AD50">
        <f t="shared" si="6"/>
        <v>0.21246685993965841</v>
      </c>
    </row>
    <row r="51" spans="21:30">
      <c r="U51" s="51"/>
      <c r="V51" s="25">
        <v>80</v>
      </c>
      <c r="W51" s="25">
        <v>45</v>
      </c>
      <c r="X51" s="40">
        <v>2.8879671830000002</v>
      </c>
      <c r="Y51" s="30">
        <v>0.27685289600000001</v>
      </c>
      <c r="Z51" s="39">
        <v>119.10151226885399</v>
      </c>
      <c r="AA51" s="34">
        <v>0.30199287411932602</v>
      </c>
      <c r="AB51">
        <f t="shared" si="5"/>
        <v>0.47828438988666744</v>
      </c>
      <c r="AC51" s="25">
        <f t="shared" si="4"/>
        <v>0.52171561011333256</v>
      </c>
      <c r="AD51">
        <f t="shared" si="6"/>
        <v>0.53065863975175886</v>
      </c>
    </row>
    <row r="52" spans="21:30">
      <c r="U52" s="51"/>
      <c r="V52" s="25">
        <v>80</v>
      </c>
      <c r="W52" s="25">
        <v>45</v>
      </c>
      <c r="X52" s="40">
        <v>3.1669097540000002</v>
      </c>
      <c r="Y52" s="30">
        <v>0.302659024</v>
      </c>
      <c r="Z52" s="39">
        <v>134.49406082378201</v>
      </c>
      <c r="AA52" s="34">
        <v>0.29592210675264002</v>
      </c>
      <c r="AB52">
        <f t="shared" si="5"/>
        <v>0.50562740529332184</v>
      </c>
      <c r="AC52" s="25">
        <f t="shared" si="4"/>
        <v>0.49437259470667816</v>
      </c>
      <c r="AD52">
        <f t="shared" si="6"/>
        <v>0.61220833687104781</v>
      </c>
    </row>
    <row r="53" spans="21:30">
      <c r="U53" s="51"/>
      <c r="V53" s="25">
        <v>80</v>
      </c>
      <c r="W53" s="25">
        <v>45</v>
      </c>
      <c r="X53" s="40">
        <v>3.3583409299999998</v>
      </c>
      <c r="Y53" s="30">
        <v>0.33596233199999997</v>
      </c>
      <c r="Z53" s="39">
        <v>136.884986136371</v>
      </c>
      <c r="AA53" s="34">
        <v>0.29394194228968601</v>
      </c>
      <c r="AB53">
        <f>Y53/(Y53+AA53)</f>
        <v>0.53335458372440669</v>
      </c>
      <c r="AC53" s="25">
        <f t="shared" si="4"/>
        <v>0.46664541627559331</v>
      </c>
      <c r="AD53">
        <f t="shared" si="6"/>
        <v>0.71995206699209491</v>
      </c>
    </row>
    <row r="54" spans="21:30">
      <c r="U54" s="51"/>
      <c r="V54" s="25">
        <v>80</v>
      </c>
      <c r="W54" s="25">
        <v>25</v>
      </c>
      <c r="X54" s="39">
        <v>2.46681859617137</v>
      </c>
      <c r="Y54" s="30">
        <v>1.4161271881711899E-2</v>
      </c>
      <c r="Z54" s="40">
        <v>4.27758196</v>
      </c>
      <c r="AA54" s="34">
        <v>1.6608978948572301E-2</v>
      </c>
      <c r="AB54">
        <f t="shared" si="5"/>
        <v>0.46022607874792881</v>
      </c>
      <c r="AC54" s="36">
        <f t="shared" si="4"/>
        <v>0.53977392125207113</v>
      </c>
      <c r="AD54">
        <f>Y54/AC54</f>
        <v>2.6235561452956285E-2</v>
      </c>
    </row>
    <row r="55" spans="21:30">
      <c r="U55" s="51"/>
      <c r="V55" s="25">
        <v>80</v>
      </c>
      <c r="W55" s="25">
        <v>25</v>
      </c>
      <c r="X55" s="39">
        <v>2.5488605287146702</v>
      </c>
      <c r="Y55" s="30">
        <v>2.8870571512445299E-2</v>
      </c>
      <c r="Z55" s="40">
        <v>7.1237886110000002</v>
      </c>
      <c r="AA55" s="34">
        <v>3.2490330069775898E-2</v>
      </c>
      <c r="AB55">
        <f t="shared" si="5"/>
        <v>0.47050435648765471</v>
      </c>
      <c r="AC55" s="36">
        <f t="shared" si="4"/>
        <v>0.52949564351234524</v>
      </c>
      <c r="AD55">
        <f t="shared" si="6"/>
        <v>5.4524662981050909E-2</v>
      </c>
    </row>
    <row r="56" spans="21:30">
      <c r="U56" s="51"/>
      <c r="V56" s="25">
        <v>80</v>
      </c>
      <c r="W56" s="25">
        <v>25</v>
      </c>
      <c r="X56" s="39">
        <v>2.6979033728349999</v>
      </c>
      <c r="Y56" s="30">
        <v>3.9142190565950197E-2</v>
      </c>
      <c r="Z56" s="40">
        <v>17.53703324</v>
      </c>
      <c r="AA56" s="34">
        <v>5.1848407691884001E-2</v>
      </c>
      <c r="AB56">
        <f t="shared" si="5"/>
        <v>0.43017840651003841</v>
      </c>
      <c r="AC56" s="36">
        <f t="shared" si="4"/>
        <v>0.56982159348996153</v>
      </c>
      <c r="AD56">
        <f t="shared" si="6"/>
        <v>6.8692009943353893E-2</v>
      </c>
    </row>
    <row r="57" spans="21:30">
      <c r="U57" s="51"/>
      <c r="V57" s="25">
        <v>80</v>
      </c>
      <c r="W57" s="25">
        <v>25</v>
      </c>
      <c r="X57" s="39">
        <v>2.8496809480401</v>
      </c>
      <c r="Y57" s="30">
        <v>7.5005793921789701E-2</v>
      </c>
      <c r="Z57" s="40">
        <v>33.144653339999998</v>
      </c>
      <c r="AA57" s="34">
        <v>8.4292347515897606E-2</v>
      </c>
      <c r="AB57">
        <f t="shared" si="5"/>
        <v>0.47085165743210972</v>
      </c>
      <c r="AC57" s="36">
        <f t="shared" si="4"/>
        <v>0.52914834256789023</v>
      </c>
      <c r="AD57">
        <f t="shared" si="6"/>
        <v>0.14174814109366013</v>
      </c>
    </row>
    <row r="58" spans="21:30">
      <c r="U58" s="51"/>
      <c r="V58" s="25">
        <v>80</v>
      </c>
      <c r="W58" s="25">
        <v>25</v>
      </c>
      <c r="X58" s="39">
        <v>3.0288058340929802</v>
      </c>
      <c r="Y58" s="30">
        <v>0.15755341995889999</v>
      </c>
      <c r="Z58" s="40">
        <v>64.105503229999997</v>
      </c>
      <c r="AA58" s="34">
        <v>0.16704047178244399</v>
      </c>
      <c r="AB58">
        <f t="shared" si="5"/>
        <v>0.48538627487312069</v>
      </c>
      <c r="AC58" s="36">
        <f t="shared" si="4"/>
        <v>0.51461372512687931</v>
      </c>
      <c r="AD58">
        <f t="shared" si="6"/>
        <v>0.30615860453402172</v>
      </c>
    </row>
    <row r="59" spans="21:30">
      <c r="U59" s="51"/>
      <c r="V59" s="25">
        <v>80</v>
      </c>
      <c r="W59" s="25">
        <v>25</v>
      </c>
      <c r="X59" s="39">
        <v>3.1901549680948</v>
      </c>
      <c r="Y59" s="30">
        <v>0.196207839562443</v>
      </c>
      <c r="Z59" s="40">
        <v>87.036084110000004</v>
      </c>
      <c r="AA59" s="34">
        <v>0.24977779284107399</v>
      </c>
      <c r="AB59">
        <f t="shared" si="5"/>
        <v>0.43994206383966855</v>
      </c>
      <c r="AC59" s="36">
        <f t="shared" si="4"/>
        <v>0.5600579361603315</v>
      </c>
      <c r="AD59">
        <f t="shared" si="6"/>
        <v>0.3503348973279673</v>
      </c>
    </row>
    <row r="60" spans="21:30">
      <c r="U60" s="51"/>
      <c r="V60" s="25">
        <v>80</v>
      </c>
      <c r="W60" s="25">
        <v>25</v>
      </c>
      <c r="X60" s="39">
        <v>3.377484047402</v>
      </c>
      <c r="Y60" s="30">
        <v>0.24052995071303801</v>
      </c>
      <c r="Z60" s="40">
        <v>98.63576741</v>
      </c>
      <c r="AA60" s="34">
        <v>0.338727593934951</v>
      </c>
      <c r="AB60">
        <f t="shared" si="5"/>
        <v>0.41523835629833089</v>
      </c>
      <c r="AC60" s="36">
        <f t="shared" si="4"/>
        <v>0.58476164370166916</v>
      </c>
      <c r="AD60">
        <f t="shared" si="6"/>
        <v>0.41132990390825019</v>
      </c>
    </row>
    <row r="61" spans="21:30">
      <c r="U61" s="51"/>
      <c r="V61" s="25">
        <v>80</v>
      </c>
      <c r="W61" s="25">
        <v>25</v>
      </c>
      <c r="X61" s="39">
        <v>3.6099361896080202</v>
      </c>
      <c r="Y61" s="30">
        <v>0.175679124886052</v>
      </c>
      <c r="Z61" s="40">
        <v>77.656729900000002</v>
      </c>
      <c r="AA61" s="34">
        <v>0.32023567939468101</v>
      </c>
      <c r="AB61">
        <f t="shared" si="5"/>
        <v>0.3542526324473298</v>
      </c>
      <c r="AC61" s="36">
        <f t="shared" si="4"/>
        <v>0.64574736755267015</v>
      </c>
      <c r="AD61">
        <f t="shared" si="6"/>
        <v>0.27205550299316211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2"/>
  <sheetViews>
    <sheetView zoomScaleNormal="100" workbookViewId="0">
      <selection activeCell="I1" activeCellId="3" sqref="B1:B1048576 D1:D1048576 F1:F1048576 I1:I1048576"/>
    </sheetView>
  </sheetViews>
  <sheetFormatPr defaultColWidth="9" defaultRowHeight="14.5"/>
  <cols>
    <col min="1" max="1" width="9" style="2"/>
    <col min="2" max="2" width="10.453125" style="2" customWidth="1"/>
    <col min="3" max="3" width="9.1796875" style="2" customWidth="1"/>
    <col min="4" max="4" width="9.453125" style="2" customWidth="1"/>
    <col min="5" max="6" width="12.81640625" style="2" customWidth="1"/>
    <col min="7" max="7" width="10.453125" style="2" customWidth="1"/>
    <col min="8" max="8" width="12.81640625" style="2" customWidth="1"/>
    <col min="9" max="9" width="9.453125" style="2" customWidth="1"/>
    <col min="10" max="10" width="9" style="2"/>
    <col min="11" max="11" width="12.81640625" style="2" customWidth="1"/>
    <col min="12" max="13" width="9.453125" style="2" customWidth="1"/>
    <col min="14" max="14" width="9.1796875" style="2" customWidth="1"/>
    <col min="15" max="15" width="10.453125" style="2" customWidth="1"/>
    <col min="16" max="16" width="9.453125" style="2" customWidth="1"/>
    <col min="17" max="17" width="12.7265625" style="2" customWidth="1"/>
    <col min="18" max="18" width="17.7265625" style="2" customWidth="1"/>
    <col min="19" max="19" width="14" style="2" customWidth="1"/>
    <col min="20" max="16384" width="9" style="2"/>
  </cols>
  <sheetData>
    <row r="1" spans="1:19">
      <c r="A1" s="2" t="s">
        <v>57</v>
      </c>
      <c r="B1" s="2" t="s">
        <v>3</v>
      </c>
      <c r="C1" s="3" t="s">
        <v>4</v>
      </c>
      <c r="D1" s="2" t="s">
        <v>58</v>
      </c>
      <c r="E1" s="2" t="s">
        <v>0</v>
      </c>
      <c r="F1" s="1" t="s">
        <v>1</v>
      </c>
      <c r="G1" s="2" t="s">
        <v>10</v>
      </c>
      <c r="H1" s="4" t="s">
        <v>59</v>
      </c>
      <c r="I1" s="2" t="s">
        <v>7</v>
      </c>
      <c r="J1" s="2" t="s">
        <v>8</v>
      </c>
      <c r="K1" s="11" t="s">
        <v>2</v>
      </c>
      <c r="L1" s="2" t="s">
        <v>58</v>
      </c>
      <c r="M1" s="2" t="s">
        <v>3</v>
      </c>
      <c r="N1" s="2" t="s">
        <v>1</v>
      </c>
      <c r="O1" s="2" t="s">
        <v>60</v>
      </c>
      <c r="P1" s="2" t="s">
        <v>7</v>
      </c>
      <c r="Q1" s="15" t="s">
        <v>61</v>
      </c>
      <c r="R1" s="2" t="s">
        <v>9</v>
      </c>
      <c r="S1" s="2" t="s">
        <v>9</v>
      </c>
    </row>
    <row r="2" spans="1:19">
      <c r="A2" s="5" t="s">
        <v>11</v>
      </c>
      <c r="B2" s="2">
        <v>160</v>
      </c>
      <c r="C2" s="2">
        <f>0.54*60/B2</f>
        <v>0.20250000000000004</v>
      </c>
      <c r="D2" s="2">
        <v>25</v>
      </c>
      <c r="E2" s="2">
        <f>H2*25*0.001</f>
        <v>0.16533066132264501</v>
      </c>
      <c r="F2" s="6">
        <v>2.38493150684931</v>
      </c>
      <c r="G2" s="6">
        <v>4.54938716654652</v>
      </c>
      <c r="H2" s="6">
        <v>6.6132264529058098</v>
      </c>
      <c r="I2" s="2">
        <v>0.64947850813847896</v>
      </c>
      <c r="K2" s="2">
        <f>G2*100/H2</f>
        <v>68.792248366870126</v>
      </c>
      <c r="L2" s="2">
        <v>25</v>
      </c>
      <c r="M2" s="6">
        <v>80</v>
      </c>
      <c r="N2" s="6">
        <v>2.4689711245775299</v>
      </c>
      <c r="O2" s="6">
        <v>5.2647213953572898</v>
      </c>
      <c r="P2" s="6">
        <v>0.73081607795371895</v>
      </c>
      <c r="Q2" s="16">
        <v>85.998447440579994</v>
      </c>
      <c r="R2" s="2">
        <f>P2/(100-Q2)</f>
        <v>5.2195360111121303E-2</v>
      </c>
      <c r="S2" s="2">
        <f>O2*(60/2/96485)/(P2*(M2*0.001/24.05))</f>
        <v>0.67337012999040602</v>
      </c>
    </row>
    <row r="3" spans="1:19">
      <c r="A3" s="2" t="s">
        <v>12</v>
      </c>
      <c r="B3" s="2">
        <v>160</v>
      </c>
      <c r="C3" s="2">
        <f t="shared" ref="C3:C42" si="0">0.54*60/B3</f>
        <v>0.20250000000000001</v>
      </c>
      <c r="D3" s="2">
        <v>25</v>
      </c>
      <c r="E3" s="2">
        <f t="shared" ref="E3:E27" si="1">H3*25*0.001</f>
        <v>0.74649298597194302</v>
      </c>
      <c r="F3" s="7">
        <v>2.6684931506849301</v>
      </c>
      <c r="G3" s="6">
        <v>28.434774519152501</v>
      </c>
      <c r="H3" s="6">
        <v>29.859719438877701</v>
      </c>
      <c r="I3" s="2">
        <v>3.1471088477870102</v>
      </c>
      <c r="K3" s="2">
        <f>G3*100/H3</f>
        <v>95.227869027229005</v>
      </c>
      <c r="L3" s="2">
        <v>25</v>
      </c>
      <c r="M3" s="6">
        <v>80</v>
      </c>
      <c r="N3" s="6">
        <v>2.5509615294926</v>
      </c>
      <c r="O3" s="6">
        <v>7.8968126462169996</v>
      </c>
      <c r="P3" s="6">
        <v>1.79</v>
      </c>
      <c r="Q3" s="16">
        <v>85.269990895986595</v>
      </c>
      <c r="R3" s="2">
        <f>P3/(100-Q3)</f>
        <v>0.121520630935136</v>
      </c>
      <c r="S3" s="2">
        <f>O3*(60/2/96485)/(P3*(M3*0.001/24.05))</f>
        <v>0.41236837435332102</v>
      </c>
    </row>
    <row r="4" spans="1:19">
      <c r="A4" s="2" t="s">
        <v>13</v>
      </c>
      <c r="B4" s="2">
        <v>160</v>
      </c>
      <c r="C4" s="2">
        <f t="shared" si="0"/>
        <v>0.20250000000000001</v>
      </c>
      <c r="D4" s="2">
        <v>25</v>
      </c>
      <c r="E4" s="2">
        <f t="shared" si="1"/>
        <v>1.58316633266533</v>
      </c>
      <c r="F4" s="6">
        <v>2.95821917808219</v>
      </c>
      <c r="G4" s="6">
        <v>54.356350443054097</v>
      </c>
      <c r="H4" s="6">
        <v>63.326653306613203</v>
      </c>
      <c r="I4" s="2">
        <v>6.3945680221623604</v>
      </c>
      <c r="K4" s="2">
        <f>G4*100/H4</f>
        <v>85.834869845202505</v>
      </c>
      <c r="L4" s="2">
        <v>25</v>
      </c>
      <c r="M4" s="6">
        <v>80</v>
      </c>
      <c r="N4" s="6">
        <v>2.6969492231587902</v>
      </c>
      <c r="O4" s="6">
        <v>17.839804435498699</v>
      </c>
      <c r="P4" s="6">
        <v>3.80024360535932</v>
      </c>
      <c r="Q4" s="16">
        <v>82.137776778263003</v>
      </c>
      <c r="R4" s="2">
        <f t="shared" ref="R4:R16" si="2">P4/(100-Q4)</f>
        <v>0.212753113550541</v>
      </c>
      <c r="S4" s="2">
        <f t="shared" ref="S4:S16" si="3">O4*(60/2/96485)/(P4*(M4*0.001/24.05))</f>
        <v>0.43879856595029598</v>
      </c>
    </row>
    <row r="5" spans="1:19">
      <c r="A5" s="2" t="s">
        <v>14</v>
      </c>
      <c r="B5" s="2">
        <v>160</v>
      </c>
      <c r="C5" s="2">
        <f t="shared" si="0"/>
        <v>0.20250000000000001</v>
      </c>
      <c r="D5" s="2">
        <v>25</v>
      </c>
      <c r="E5" s="2">
        <f t="shared" si="1"/>
        <v>4.7494989979959703</v>
      </c>
      <c r="F5" s="6">
        <v>3.1678082191780801</v>
      </c>
      <c r="G5" s="6">
        <v>141.413586994441</v>
      </c>
      <c r="H5" s="6">
        <v>189.97995991983899</v>
      </c>
      <c r="I5" s="2">
        <v>16.54031254529</v>
      </c>
      <c r="K5" s="2">
        <f>G5*100/H5</f>
        <v>74.436054757622699</v>
      </c>
      <c r="L5" s="2">
        <v>25</v>
      </c>
      <c r="M5" s="6">
        <v>80</v>
      </c>
      <c r="N5" s="6">
        <v>2.8495339263671999</v>
      </c>
      <c r="O5" s="6">
        <v>34.713237854852999</v>
      </c>
      <c r="P5" s="6">
        <v>7.3812423873325104</v>
      </c>
      <c r="Q5" s="16">
        <v>75.938444947814403</v>
      </c>
      <c r="R5" s="2">
        <f t="shared" si="2"/>
        <v>0.30676497721464002</v>
      </c>
      <c r="S5" s="2">
        <f t="shared" si="3"/>
        <v>0.43959445365101002</v>
      </c>
    </row>
    <row r="6" spans="1:19">
      <c r="A6" s="5" t="s">
        <v>15</v>
      </c>
      <c r="B6" s="2">
        <v>120</v>
      </c>
      <c r="C6" s="2">
        <f t="shared" si="0"/>
        <v>0.27</v>
      </c>
      <c r="D6" s="2">
        <v>25</v>
      </c>
      <c r="E6" s="2">
        <f t="shared" si="1"/>
        <v>8.7650300601202297E-2</v>
      </c>
      <c r="F6" s="6">
        <v>2.3910958904109498</v>
      </c>
      <c r="G6" s="6">
        <v>2.68065213852128</v>
      </c>
      <c r="H6" s="6">
        <v>3.5060120240480899</v>
      </c>
      <c r="I6" s="2">
        <v>0.79850474015363204</v>
      </c>
      <c r="K6" s="2">
        <f t="shared" ref="K6:K27" si="4">G6*100/H6</f>
        <v>76.458726328786597</v>
      </c>
      <c r="L6" s="2">
        <v>25</v>
      </c>
      <c r="M6" s="6">
        <v>80</v>
      </c>
      <c r="N6" s="6">
        <v>3.0333990417351901</v>
      </c>
      <c r="O6" s="6">
        <v>64.885353746624304</v>
      </c>
      <c r="P6" s="6">
        <v>14.3239951278928</v>
      </c>
      <c r="Q6" s="16">
        <v>62.775152546414198</v>
      </c>
      <c r="R6" s="2">
        <f t="shared" si="2"/>
        <v>0.38479661053689501</v>
      </c>
      <c r="S6" s="2">
        <f t="shared" si="3"/>
        <v>0.42341774932063098</v>
      </c>
    </row>
    <row r="7" spans="1:19">
      <c r="A7" s="2" t="s">
        <v>16</v>
      </c>
      <c r="B7" s="2">
        <v>120</v>
      </c>
      <c r="C7" s="2">
        <f t="shared" si="0"/>
        <v>0.27</v>
      </c>
      <c r="D7" s="2">
        <v>25</v>
      </c>
      <c r="E7" s="2">
        <f t="shared" si="1"/>
        <v>0.52605210420841497</v>
      </c>
      <c r="F7" s="7">
        <v>2.6808219178082102</v>
      </c>
      <c r="G7" s="6">
        <v>18.924808707584202</v>
      </c>
      <c r="H7" s="6">
        <v>21.042084168336601</v>
      </c>
      <c r="I7" s="2">
        <v>3.2952688419232401</v>
      </c>
      <c r="K7" s="2">
        <f t="shared" si="4"/>
        <v>89.937900429376697</v>
      </c>
      <c r="L7" s="2">
        <v>25</v>
      </c>
      <c r="M7" s="6">
        <v>80</v>
      </c>
      <c r="N7" s="6">
        <v>3.1925900821769502</v>
      </c>
      <c r="O7" s="6">
        <v>86.815495617110599</v>
      </c>
      <c r="P7" s="6">
        <v>19.293544457978001</v>
      </c>
      <c r="Q7" s="16">
        <v>51.095191130089802</v>
      </c>
      <c r="R7" s="2">
        <f t="shared" si="2"/>
        <v>0.39451221472514097</v>
      </c>
      <c r="S7" s="2">
        <f t="shared" si="3"/>
        <v>0.42060242861747499</v>
      </c>
    </row>
    <row r="8" spans="1:19">
      <c r="A8" s="2" t="s">
        <v>17</v>
      </c>
      <c r="B8" s="2">
        <v>120</v>
      </c>
      <c r="C8" s="2">
        <f t="shared" si="0"/>
        <v>0.27</v>
      </c>
      <c r="D8" s="2">
        <v>25</v>
      </c>
      <c r="E8" s="2">
        <f t="shared" si="1"/>
        <v>1.83366733466934</v>
      </c>
      <c r="F8" s="6">
        <v>2.95821917808219</v>
      </c>
      <c r="G8" s="6">
        <v>66.750238388724796</v>
      </c>
      <c r="H8" s="6">
        <v>73.346693386773495</v>
      </c>
      <c r="I8" s="2">
        <v>10.735385983937899</v>
      </c>
      <c r="K8" s="2">
        <f t="shared" si="4"/>
        <v>91.006472557305202</v>
      </c>
      <c r="L8" s="2">
        <v>45</v>
      </c>
      <c r="M8" s="6">
        <v>80</v>
      </c>
      <c r="N8" s="6">
        <v>2.3785282545302402</v>
      </c>
      <c r="O8" s="6">
        <v>6.00273623244638</v>
      </c>
      <c r="P8" s="12">
        <v>1.2526138919468399</v>
      </c>
      <c r="Q8" s="16">
        <v>84.866542209023805</v>
      </c>
      <c r="R8" s="2">
        <f t="shared" si="2"/>
        <v>8.27711623640799E-2</v>
      </c>
      <c r="S8" s="2">
        <f t="shared" si="3"/>
        <v>0.44793869841262701</v>
      </c>
    </row>
    <row r="9" spans="1:19">
      <c r="A9" s="2" t="s">
        <v>18</v>
      </c>
      <c r="B9" s="2">
        <v>120</v>
      </c>
      <c r="C9" s="2">
        <f>0.54*60/B9</f>
        <v>0.27000000000000007</v>
      </c>
      <c r="D9" s="2">
        <v>25</v>
      </c>
      <c r="E9" s="2">
        <f t="shared" si="1"/>
        <v>4.4939879759519004</v>
      </c>
      <c r="F9" s="6">
        <v>3.2084931506849301</v>
      </c>
      <c r="G9" s="6">
        <v>133.935623415587</v>
      </c>
      <c r="H9" s="6">
        <v>179.75951903807601</v>
      </c>
      <c r="I9" s="2">
        <v>21.775521117046999</v>
      </c>
      <c r="K9" s="2">
        <f t="shared" si="4"/>
        <v>74.508223059507202</v>
      </c>
      <c r="L9" s="2">
        <v>45</v>
      </c>
      <c r="M9" s="6">
        <v>80</v>
      </c>
      <c r="N9" s="6">
        <v>2.6574329936282499</v>
      </c>
      <c r="O9" s="6">
        <v>42.5544097329579</v>
      </c>
      <c r="P9" s="12">
        <v>9.6197017661218496</v>
      </c>
      <c r="Q9" s="16">
        <v>73.208731182329501</v>
      </c>
      <c r="R9" s="2">
        <f t="shared" si="2"/>
        <v>0.35906107439663598</v>
      </c>
      <c r="S9" s="2">
        <f t="shared" si="3"/>
        <v>0.41349428365111801</v>
      </c>
    </row>
    <row r="10" spans="1:19">
      <c r="A10" s="5" t="s">
        <v>19</v>
      </c>
      <c r="B10" s="2">
        <v>80</v>
      </c>
      <c r="C10" s="2">
        <f t="shared" si="0"/>
        <v>0.40500000000000008</v>
      </c>
      <c r="D10" s="2">
        <v>25</v>
      </c>
      <c r="E10" s="2">
        <f t="shared" si="1"/>
        <v>0.19023046092184401</v>
      </c>
      <c r="F10" s="8">
        <v>2.46876712328767</v>
      </c>
      <c r="G10" s="6">
        <v>4.8731306835360604</v>
      </c>
      <c r="H10" s="29">
        <v>7.6092184368737499</v>
      </c>
      <c r="I10" s="2">
        <v>0.94839721004769395</v>
      </c>
      <c r="K10" s="13">
        <f t="shared" si="4"/>
        <v>64.042460128640897</v>
      </c>
      <c r="L10" s="2">
        <v>45</v>
      </c>
      <c r="M10" s="6">
        <v>80</v>
      </c>
      <c r="N10" s="6">
        <v>2.8849666862689198</v>
      </c>
      <c r="O10" s="6">
        <v>119.361842154011</v>
      </c>
      <c r="P10" s="12">
        <v>26.709577510784701</v>
      </c>
      <c r="Q10" s="16">
        <v>41.559753216209401</v>
      </c>
      <c r="R10" s="2">
        <f t="shared" si="2"/>
        <v>0.45704080630598998</v>
      </c>
      <c r="S10" s="2">
        <f t="shared" si="3"/>
        <v>0.41771978096437401</v>
      </c>
    </row>
    <row r="11" spans="1:19">
      <c r="A11" s="2" t="s">
        <v>20</v>
      </c>
      <c r="B11" s="2">
        <v>80</v>
      </c>
      <c r="C11" s="2">
        <f t="shared" si="0"/>
        <v>0.40500000000000008</v>
      </c>
      <c r="D11" s="2">
        <v>25</v>
      </c>
      <c r="E11" s="2">
        <f t="shared" si="1"/>
        <v>0.25050100200400699</v>
      </c>
      <c r="F11" s="9">
        <v>2.5501369863013599</v>
      </c>
      <c r="G11" s="6">
        <v>7.2346907923808796</v>
      </c>
      <c r="H11" s="29">
        <v>10.0200400801603</v>
      </c>
      <c r="I11" s="2">
        <v>1.79717706401998</v>
      </c>
      <c r="K11" s="13">
        <f t="shared" si="4"/>
        <v>72.202214107961296</v>
      </c>
      <c r="L11" s="2">
        <v>45</v>
      </c>
      <c r="M11" s="6">
        <v>80</v>
      </c>
      <c r="N11" s="6">
        <v>3.1685183725681498</v>
      </c>
      <c r="O11" s="6">
        <v>135.50211077901699</v>
      </c>
      <c r="P11" s="12">
        <v>30.361151639970299</v>
      </c>
      <c r="Q11" s="16">
        <v>33.061590276046701</v>
      </c>
      <c r="R11" s="2">
        <f t="shared" si="2"/>
        <v>0.45356846338561602</v>
      </c>
      <c r="S11" s="2">
        <f t="shared" si="3"/>
        <v>0.41717124624741098</v>
      </c>
    </row>
    <row r="12" spans="1:19">
      <c r="A12" s="2" t="s">
        <v>21</v>
      </c>
      <c r="B12" s="2">
        <v>80</v>
      </c>
      <c r="C12" s="2">
        <f t="shared" si="0"/>
        <v>0.40500000000000008</v>
      </c>
      <c r="D12" s="2">
        <v>25</v>
      </c>
      <c r="E12" s="2">
        <f t="shared" si="1"/>
        <v>0.50601202404809498</v>
      </c>
      <c r="F12" s="8">
        <v>2.69808219178082</v>
      </c>
      <c r="G12" s="6">
        <v>16.884201223341101</v>
      </c>
      <c r="H12" s="29">
        <v>20.240480961923801</v>
      </c>
      <c r="I12" s="2">
        <v>4.09314056208843</v>
      </c>
      <c r="K12" s="13">
        <f t="shared" si="4"/>
        <v>83.417984261853803</v>
      </c>
      <c r="L12" s="2">
        <v>45</v>
      </c>
      <c r="M12" s="6">
        <v>80</v>
      </c>
      <c r="N12" s="6">
        <v>3.3540961642224398</v>
      </c>
      <c r="O12" s="6">
        <v>137.58520413627801</v>
      </c>
      <c r="P12" s="12">
        <v>30.8083444385333</v>
      </c>
      <c r="Q12" s="16">
        <v>29.006917424431201</v>
      </c>
      <c r="R12" s="2">
        <f t="shared" si="2"/>
        <v>0.43396262453795098</v>
      </c>
      <c r="S12" s="2">
        <f t="shared" si="3"/>
        <v>0.41743601777009898</v>
      </c>
    </row>
    <row r="13" spans="1:19">
      <c r="A13" s="2" t="s">
        <v>22</v>
      </c>
      <c r="B13" s="2">
        <v>80</v>
      </c>
      <c r="C13" s="2">
        <f t="shared" si="0"/>
        <v>0.40500000000000008</v>
      </c>
      <c r="D13" s="2">
        <v>25</v>
      </c>
      <c r="E13" s="2">
        <f t="shared" si="1"/>
        <v>0.94689378757514997</v>
      </c>
      <c r="F13" s="8">
        <v>2.8521917808219102</v>
      </c>
      <c r="G13" s="6">
        <v>33.153940972626003</v>
      </c>
      <c r="H13" s="29">
        <v>37.875751503006001</v>
      </c>
      <c r="I13" s="2">
        <v>7.73697019975112</v>
      </c>
      <c r="K13" s="13">
        <f t="shared" si="4"/>
        <v>87.533420874816798</v>
      </c>
      <c r="L13" s="2">
        <v>60</v>
      </c>
      <c r="M13" s="6">
        <v>80</v>
      </c>
      <c r="N13" s="6">
        <v>2.3795679824428402</v>
      </c>
      <c r="O13" s="6">
        <v>8.4373229650197406</v>
      </c>
      <c r="P13" s="14">
        <v>1.68605906737388</v>
      </c>
      <c r="Q13" s="16">
        <v>69.252956094811793</v>
      </c>
      <c r="R13" s="2">
        <f t="shared" si="2"/>
        <v>5.4836460785401803E-2</v>
      </c>
      <c r="S13" s="2">
        <f t="shared" si="3"/>
        <v>0.46775499680303001</v>
      </c>
    </row>
    <row r="14" spans="1:19">
      <c r="A14" s="2" t="s">
        <v>23</v>
      </c>
      <c r="B14" s="2">
        <v>80</v>
      </c>
      <c r="C14" s="2">
        <f t="shared" si="0"/>
        <v>0.40500000000000008</v>
      </c>
      <c r="D14" s="2">
        <v>25</v>
      </c>
      <c r="E14" s="2">
        <f t="shared" si="1"/>
        <v>1.8987975951903799</v>
      </c>
      <c r="F14" s="8">
        <v>3.0321917808219099</v>
      </c>
      <c r="G14" s="6">
        <v>64.019815335953595</v>
      </c>
      <c r="H14" s="29">
        <v>75.951903807615196</v>
      </c>
      <c r="I14" s="2">
        <v>14.6260934170918</v>
      </c>
      <c r="K14" s="13">
        <f t="shared" si="4"/>
        <v>84.289941563696203</v>
      </c>
      <c r="L14" s="2">
        <v>60</v>
      </c>
      <c r="M14" s="6">
        <v>80</v>
      </c>
      <c r="N14" s="6">
        <v>2.6465022098007198</v>
      </c>
      <c r="O14" s="6">
        <v>51.167277300519999</v>
      </c>
      <c r="P14" s="14">
        <v>11.461883266350901</v>
      </c>
      <c r="Q14" s="16">
        <v>54.154247997658899</v>
      </c>
      <c r="R14" s="2">
        <f t="shared" si="2"/>
        <v>0.250009712257869</v>
      </c>
      <c r="S14" s="2">
        <f t="shared" si="3"/>
        <v>0.41727548847769602</v>
      </c>
    </row>
    <row r="15" spans="1:19">
      <c r="A15" s="2" t="s">
        <v>24</v>
      </c>
      <c r="B15" s="2">
        <v>80</v>
      </c>
      <c r="C15" s="2">
        <f t="shared" si="0"/>
        <v>0.40500000000000008</v>
      </c>
      <c r="D15" s="2">
        <v>25</v>
      </c>
      <c r="E15" s="2">
        <f t="shared" si="1"/>
        <v>2.8156312625250499</v>
      </c>
      <c r="F15" s="8">
        <v>3.18753424657534</v>
      </c>
      <c r="G15" s="6">
        <v>85.722259692536696</v>
      </c>
      <c r="H15" s="29">
        <v>112.625250501002</v>
      </c>
      <c r="I15" s="2">
        <v>19.619721571155601</v>
      </c>
      <c r="K15" s="13">
        <f t="shared" si="4"/>
        <v>76.112824887145607</v>
      </c>
      <c r="L15" s="2">
        <v>60</v>
      </c>
      <c r="M15" s="6">
        <v>80</v>
      </c>
      <c r="N15" s="6">
        <v>2.8684795722262302</v>
      </c>
      <c r="O15" s="6">
        <v>137.899109680348</v>
      </c>
      <c r="P15" s="14">
        <v>30.989986884451401</v>
      </c>
      <c r="Q15" s="16">
        <v>25.106078012723898</v>
      </c>
      <c r="R15" s="2">
        <f t="shared" si="2"/>
        <v>0.41378507176745699</v>
      </c>
      <c r="S15" s="2">
        <f t="shared" si="3"/>
        <v>0.415936101625415</v>
      </c>
    </row>
    <row r="16" spans="1:19">
      <c r="A16" s="5" t="s">
        <v>25</v>
      </c>
      <c r="B16" s="2">
        <v>30</v>
      </c>
      <c r="C16" s="2">
        <f>0.54*60/B16</f>
        <v>1.0800000000000003</v>
      </c>
      <c r="D16" s="2">
        <v>25</v>
      </c>
      <c r="E16" s="2">
        <f t="shared" si="1"/>
        <v>7.5100200400801495E-2</v>
      </c>
      <c r="F16" s="27">
        <v>2.28136986301369</v>
      </c>
      <c r="G16" s="6">
        <v>1.8524548224294699</v>
      </c>
      <c r="H16" s="27">
        <v>3.0040080160320599</v>
      </c>
      <c r="I16" s="2">
        <v>0.69858753250474503</v>
      </c>
      <c r="K16" s="2">
        <f t="shared" si="4"/>
        <v>61.666107831374703</v>
      </c>
      <c r="L16" s="2">
        <v>60</v>
      </c>
      <c r="M16" s="6">
        <v>80</v>
      </c>
      <c r="N16" s="6">
        <v>3.07609777686165</v>
      </c>
      <c r="O16" s="6">
        <v>178.37446775833001</v>
      </c>
      <c r="P16" s="14">
        <v>40.219382568435201</v>
      </c>
      <c r="Q16" s="16">
        <v>1.63310013330875</v>
      </c>
      <c r="R16" s="2">
        <f t="shared" si="2"/>
        <v>0.40887110016622802</v>
      </c>
      <c r="S16" s="2">
        <f t="shared" si="3"/>
        <v>0.41455660433098601</v>
      </c>
    </row>
    <row r="17" spans="1:18">
      <c r="A17" s="2" t="s">
        <v>26</v>
      </c>
      <c r="B17" s="2">
        <v>30</v>
      </c>
      <c r="C17" s="2">
        <f t="shared" si="0"/>
        <v>1.0800000000000003</v>
      </c>
      <c r="D17" s="2">
        <v>25</v>
      </c>
      <c r="E17" s="2">
        <f t="shared" si="1"/>
        <v>0.19529058116232401</v>
      </c>
      <c r="F17" s="27">
        <v>2.4564383561643801</v>
      </c>
      <c r="G17" s="6">
        <v>5.55457357490058</v>
      </c>
      <c r="H17" s="27">
        <v>7.8116232464929798</v>
      </c>
      <c r="I17" s="2">
        <v>3.2927367619694898</v>
      </c>
      <c r="K17" s="2">
        <f t="shared" si="4"/>
        <v>71.106521648932599</v>
      </c>
      <c r="M17" s="6"/>
    </row>
    <row r="18" spans="1:18">
      <c r="A18" s="2" t="s">
        <v>27</v>
      </c>
      <c r="B18" s="2">
        <v>30</v>
      </c>
      <c r="C18" s="2">
        <f t="shared" si="0"/>
        <v>1.0800000000000003</v>
      </c>
      <c r="D18" s="2">
        <v>25</v>
      </c>
      <c r="E18" s="2">
        <f t="shared" si="1"/>
        <v>0.28056112224448698</v>
      </c>
      <c r="F18" s="28">
        <v>2.5587671232876699</v>
      </c>
      <c r="G18" s="6">
        <v>9.4401935018722103</v>
      </c>
      <c r="H18" s="27">
        <v>11.222444889779499</v>
      </c>
      <c r="I18" s="2">
        <v>5.7375265910041202</v>
      </c>
      <c r="K18" s="2">
        <f t="shared" si="4"/>
        <v>84.118867097040294</v>
      </c>
      <c r="M18" s="6"/>
    </row>
    <row r="19" spans="1:18">
      <c r="A19" s="2" t="s">
        <v>28</v>
      </c>
      <c r="B19" s="2">
        <v>30</v>
      </c>
      <c r="C19" s="2">
        <f>0.54*60/B19</f>
        <v>1.0800000000000003</v>
      </c>
      <c r="D19" s="2">
        <v>25</v>
      </c>
      <c r="E19" s="2">
        <f t="shared" si="1"/>
        <v>0.57615230460921796</v>
      </c>
      <c r="F19" s="27">
        <v>2.7067123287671202</v>
      </c>
      <c r="G19" s="6">
        <v>19.089703932832499</v>
      </c>
      <c r="H19" s="27">
        <v>23.0460921843687</v>
      </c>
      <c r="I19" s="2">
        <v>11.8741556262983</v>
      </c>
      <c r="K19" s="2">
        <f t="shared" si="4"/>
        <v>82.8327153259429</v>
      </c>
      <c r="M19" s="6"/>
    </row>
    <row r="20" spans="1:18">
      <c r="A20" s="2" t="s">
        <v>29</v>
      </c>
      <c r="B20" s="2">
        <v>30</v>
      </c>
      <c r="C20" s="2">
        <f t="shared" si="0"/>
        <v>1.0800000000000003</v>
      </c>
      <c r="D20" s="2">
        <v>25</v>
      </c>
      <c r="E20" s="2">
        <f t="shared" si="1"/>
        <v>1.1121743486973901</v>
      </c>
      <c r="F20" s="27">
        <v>2.8558904109588998</v>
      </c>
      <c r="G20" s="6">
        <v>35.699932553433896</v>
      </c>
      <c r="H20" s="27">
        <v>44.486973947895699</v>
      </c>
      <c r="I20" s="2">
        <v>22.301494093756901</v>
      </c>
      <c r="K20" s="2">
        <f t="shared" si="4"/>
        <v>80.248057769104705</v>
      </c>
      <c r="M20" s="6"/>
    </row>
    <row r="21" spans="1:18">
      <c r="A21" s="2" t="s">
        <v>30</v>
      </c>
      <c r="B21" s="2">
        <v>30</v>
      </c>
      <c r="C21" s="2">
        <f t="shared" si="0"/>
        <v>1.0800000000000003</v>
      </c>
      <c r="D21" s="2">
        <v>25</v>
      </c>
      <c r="E21" s="2">
        <f t="shared" si="1"/>
        <v>2.1893787575150299</v>
      </c>
      <c r="F21" s="27">
        <v>3.08643835616438</v>
      </c>
      <c r="G21" s="6">
        <v>58.746424169127998</v>
      </c>
      <c r="H21" s="27">
        <v>87.575150300601194</v>
      </c>
      <c r="I21" s="2">
        <v>37.121791379933597</v>
      </c>
      <c r="K21" s="2">
        <f t="shared" si="4"/>
        <v>67.081157117608399</v>
      </c>
      <c r="M21" s="6"/>
    </row>
    <row r="22" spans="1:18">
      <c r="A22" s="2" t="s">
        <v>31</v>
      </c>
      <c r="B22" s="2">
        <v>30</v>
      </c>
      <c r="C22" s="2">
        <f t="shared" si="0"/>
        <v>1.0800000000000003</v>
      </c>
      <c r="D22" s="2">
        <v>25</v>
      </c>
      <c r="E22" s="2">
        <f t="shared" si="1"/>
        <v>2.47995991983968</v>
      </c>
      <c r="F22" s="27">
        <v>3.2171232876712299</v>
      </c>
      <c r="G22" s="6">
        <v>62.117357024908699</v>
      </c>
      <c r="H22" s="27">
        <v>99.198396793587094</v>
      </c>
      <c r="I22" s="2">
        <v>39.118736225568298</v>
      </c>
      <c r="K22" s="2">
        <f t="shared" si="4"/>
        <v>62.619315465514099</v>
      </c>
      <c r="M22" s="6"/>
      <c r="O22" s="6">
        <v>2.4689711245775299</v>
      </c>
      <c r="P22" s="6">
        <v>4.8050046172071097</v>
      </c>
      <c r="Q22" s="6">
        <v>2.4679566822768702</v>
      </c>
      <c r="R22" s="6">
        <v>0.73081607795371895</v>
      </c>
    </row>
    <row r="23" spans="1:18">
      <c r="A23" s="5" t="s">
        <v>32</v>
      </c>
      <c r="B23" s="2">
        <v>15</v>
      </c>
      <c r="C23" s="2">
        <f t="shared" si="0"/>
        <v>2.1600000000000006</v>
      </c>
      <c r="D23" s="2">
        <v>25</v>
      </c>
      <c r="E23" s="2">
        <f t="shared" si="1"/>
        <v>0.16032064128256501</v>
      </c>
      <c r="F23" s="6">
        <v>2.3910958904109498</v>
      </c>
      <c r="G23" s="6">
        <v>3.3597692862292599</v>
      </c>
      <c r="H23" s="6">
        <v>6.4128256513026001</v>
      </c>
      <c r="I23" s="2">
        <v>2.7442082835663002</v>
      </c>
      <c r="K23" s="2">
        <f t="shared" si="4"/>
        <v>52.391402307137596</v>
      </c>
      <c r="M23" s="6"/>
      <c r="O23" s="6">
        <v>2.5509615294926</v>
      </c>
      <c r="P23" s="6">
        <v>7.6344042559145402</v>
      </c>
      <c r="Q23" s="6">
        <v>2.5475029254179899</v>
      </c>
      <c r="R23" s="6">
        <v>1.6077953714981701</v>
      </c>
    </row>
    <row r="24" spans="1:18">
      <c r="A24" s="2" t="s">
        <v>33</v>
      </c>
      <c r="B24" s="2">
        <v>15</v>
      </c>
      <c r="C24" s="2">
        <f t="shared" si="0"/>
        <v>2.1600000000000006</v>
      </c>
      <c r="D24" s="2">
        <v>25</v>
      </c>
      <c r="E24" s="2">
        <f t="shared" si="1"/>
        <v>0.54108216432865497</v>
      </c>
      <c r="F24" s="7">
        <v>2.6771232876712299</v>
      </c>
      <c r="G24" s="6">
        <v>12.473893527455401</v>
      </c>
      <c r="H24" s="6">
        <v>21.643286573146199</v>
      </c>
      <c r="I24" s="2">
        <v>17.509832632846699</v>
      </c>
      <c r="K24" s="2">
        <f t="shared" si="4"/>
        <v>57.634008057409901</v>
      </c>
      <c r="M24" s="6"/>
      <c r="O24" s="6">
        <v>2.6969492231587902</v>
      </c>
      <c r="P24" s="6">
        <v>18.1330315307051</v>
      </c>
      <c r="Q24" s="6">
        <v>2.69921725625704</v>
      </c>
      <c r="R24" s="6">
        <v>3.80024360535932</v>
      </c>
    </row>
    <row r="25" spans="1:18">
      <c r="A25" s="2" t="s">
        <v>34</v>
      </c>
      <c r="B25" s="2">
        <v>15</v>
      </c>
      <c r="C25" s="2">
        <f t="shared" si="0"/>
        <v>2.1600000000000006</v>
      </c>
      <c r="D25" s="2">
        <v>25</v>
      </c>
      <c r="E25" s="2">
        <f t="shared" si="1"/>
        <v>0.87174348697394699</v>
      </c>
      <c r="F25" s="6">
        <v>2.8275342465753401</v>
      </c>
      <c r="G25" s="6">
        <v>25.1789659743703</v>
      </c>
      <c r="H25" s="6">
        <v>34.869739478957896</v>
      </c>
      <c r="I25" s="2">
        <v>33.970884412215902</v>
      </c>
      <c r="K25" s="2">
        <f t="shared" si="4"/>
        <v>72.208643800062006</v>
      </c>
      <c r="O25" s="6">
        <v>2.8495339263671999</v>
      </c>
      <c r="P25" s="6">
        <v>33.466822957313298</v>
      </c>
      <c r="Q25" s="6">
        <v>2.84942400972507</v>
      </c>
      <c r="R25" s="6">
        <v>7.3812423873325104</v>
      </c>
    </row>
    <row r="26" spans="1:18">
      <c r="A26" s="2" t="s">
        <v>35</v>
      </c>
      <c r="B26" s="2">
        <v>15</v>
      </c>
      <c r="C26" s="2">
        <f t="shared" si="0"/>
        <v>2.1600000000000006</v>
      </c>
      <c r="D26" s="2">
        <v>25</v>
      </c>
      <c r="E26" s="2">
        <f t="shared" si="1"/>
        <v>1.2575150300601201</v>
      </c>
      <c r="F26" s="6">
        <v>2.9705479452054702</v>
      </c>
      <c r="G26" s="6">
        <v>31.7733795381072</v>
      </c>
      <c r="H26" s="6">
        <v>50.300601202404799</v>
      </c>
      <c r="I26" s="2">
        <v>43.250257789061003</v>
      </c>
      <c r="K26" s="2">
        <f t="shared" si="4"/>
        <v>63.166997567790801</v>
      </c>
      <c r="O26" s="6">
        <v>3.0333990417351901</v>
      </c>
      <c r="P26" s="6">
        <v>65.010897852454505</v>
      </c>
      <c r="Q26" s="6">
        <v>3.0275442761115898</v>
      </c>
      <c r="R26" s="6">
        <v>14.3239951278928</v>
      </c>
    </row>
    <row r="27" spans="1:18">
      <c r="A27" s="2" t="s">
        <v>36</v>
      </c>
      <c r="B27" s="2">
        <v>15</v>
      </c>
      <c r="C27" s="2">
        <f t="shared" si="0"/>
        <v>2.1600000000000006</v>
      </c>
      <c r="D27" s="2">
        <v>25</v>
      </c>
      <c r="E27" s="2">
        <f t="shared" si="1"/>
        <v>2.1392785571142299</v>
      </c>
      <c r="F27" s="6">
        <v>3.14684931506849</v>
      </c>
      <c r="G27" s="6">
        <v>31.9099006907458</v>
      </c>
      <c r="H27" s="6">
        <v>85.571142284569106</v>
      </c>
      <c r="I27" s="2">
        <v>42.4082412539126</v>
      </c>
      <c r="K27" s="2">
        <f t="shared" si="4"/>
        <v>37.290492844688899</v>
      </c>
      <c r="O27" s="6">
        <v>3.1925900821769502</v>
      </c>
      <c r="P27" s="6">
        <v>86.317831747107604</v>
      </c>
      <c r="Q27" s="6">
        <v>3.18950474886871</v>
      </c>
      <c r="R27" s="6">
        <v>19.293544457978001</v>
      </c>
    </row>
    <row r="28" spans="1:18" s="1" customFormat="1">
      <c r="A28" s="1" t="s">
        <v>37</v>
      </c>
      <c r="B28" s="10">
        <v>80</v>
      </c>
      <c r="C28" s="2">
        <f t="shared" si="0"/>
        <v>0.40500000000000008</v>
      </c>
      <c r="D28" s="1">
        <v>25</v>
      </c>
      <c r="E28" s="1">
        <f t="shared" ref="E28:E33" si="5">H28*25/1000</f>
        <v>0.205516831520141</v>
      </c>
      <c r="F28" s="6">
        <v>2.46702940944667</v>
      </c>
      <c r="G28" s="6">
        <v>5.2647213953572898</v>
      </c>
      <c r="H28" s="6">
        <f>G28/(K28*0.01)</f>
        <v>8.220673260805631</v>
      </c>
      <c r="I28" s="2">
        <v>0.87921580607950001</v>
      </c>
      <c r="K28" s="43">
        <v>64.042460128640897</v>
      </c>
      <c r="O28" s="6">
        <v>3.3713716058863898</v>
      </c>
      <c r="P28" s="6">
        <v>97.663724298324396</v>
      </c>
      <c r="Q28" s="6">
        <v>3.37804524646497</v>
      </c>
      <c r="R28" s="6">
        <v>21.924482338611401</v>
      </c>
    </row>
    <row r="29" spans="1:18">
      <c r="A29" s="2" t="s">
        <v>38</v>
      </c>
      <c r="B29" s="6">
        <v>80</v>
      </c>
      <c r="C29" s="2">
        <f t="shared" si="0"/>
        <v>0.40500000000000008</v>
      </c>
      <c r="D29" s="2">
        <v>25</v>
      </c>
      <c r="E29" s="1">
        <f t="shared" si="5"/>
        <v>0.273426955938262</v>
      </c>
      <c r="F29" s="7">
        <v>2.5500803288328902</v>
      </c>
      <c r="G29" s="6">
        <v>7.8968126462169996</v>
      </c>
      <c r="H29" s="6">
        <f t="shared" ref="H29:H33" si="6">G29/(K29*0.01)</f>
        <v>10.9370782375305</v>
      </c>
      <c r="I29" s="2">
        <v>1.8068643304486101</v>
      </c>
      <c r="K29" s="43">
        <v>72.202214107961296</v>
      </c>
    </row>
    <row r="30" spans="1:18">
      <c r="A30" s="2" t="s">
        <v>39</v>
      </c>
      <c r="B30" s="6">
        <v>80</v>
      </c>
      <c r="C30" s="2">
        <f t="shared" si="0"/>
        <v>0.40500000000000008</v>
      </c>
      <c r="D30" s="2">
        <v>25</v>
      </c>
      <c r="E30" s="1">
        <f t="shared" si="5"/>
        <v>0.53465102859290303</v>
      </c>
      <c r="F30" s="6">
        <v>2.6934445609801898</v>
      </c>
      <c r="G30" s="6">
        <v>17.839804435498699</v>
      </c>
      <c r="H30" s="6">
        <f t="shared" si="6"/>
        <v>21.386041143716099</v>
      </c>
      <c r="I30" s="2">
        <v>3.8773827896613602</v>
      </c>
      <c r="K30" s="43">
        <v>83.417984261853803</v>
      </c>
    </row>
    <row r="31" spans="1:18">
      <c r="A31" s="2" t="s">
        <v>40</v>
      </c>
      <c r="B31" s="6">
        <v>80</v>
      </c>
      <c r="C31" s="2">
        <f t="shared" si="0"/>
        <v>0.40500000000000008</v>
      </c>
      <c r="D31" s="2">
        <v>25</v>
      </c>
      <c r="E31" s="1">
        <f t="shared" si="5"/>
        <v>0.991428117053058</v>
      </c>
      <c r="F31" s="6">
        <v>2.8496462500075701</v>
      </c>
      <c r="G31" s="6">
        <v>34.713237854852999</v>
      </c>
      <c r="H31" s="6">
        <f t="shared" si="6"/>
        <v>39.657124682122301</v>
      </c>
      <c r="I31" s="2">
        <v>7.5736761987031898</v>
      </c>
      <c r="K31" s="43">
        <v>87.533420874816798</v>
      </c>
    </row>
    <row r="32" spans="1:18">
      <c r="A32" s="2" t="s">
        <v>41</v>
      </c>
      <c r="B32" s="6">
        <v>80</v>
      </c>
      <c r="C32" s="2">
        <f t="shared" si="0"/>
        <v>0.40500000000000008</v>
      </c>
      <c r="D32" s="2">
        <v>25</v>
      </c>
      <c r="E32" s="1">
        <f t="shared" si="5"/>
        <v>1.92446905712919</v>
      </c>
      <c r="F32" s="6">
        <v>3.0282945430956598</v>
      </c>
      <c r="G32" s="6">
        <v>64.885353746624304</v>
      </c>
      <c r="H32" s="6">
        <f t="shared" si="6"/>
        <v>76.978762285167505</v>
      </c>
      <c r="I32" s="2">
        <v>14.6868860316774</v>
      </c>
      <c r="K32" s="43">
        <v>84.289941563696203</v>
      </c>
    </row>
    <row r="33" spans="1:16">
      <c r="A33" s="2" t="s">
        <v>42</v>
      </c>
      <c r="B33" s="6">
        <v>80</v>
      </c>
      <c r="C33" s="2">
        <f t="shared" si="0"/>
        <v>0.40500000000000008</v>
      </c>
      <c r="D33" s="2">
        <v>25</v>
      </c>
      <c r="E33" s="1">
        <f t="shared" si="5"/>
        <v>2.85153966318535</v>
      </c>
      <c r="F33" s="6">
        <v>3.1887309256912801</v>
      </c>
      <c r="G33" s="6">
        <v>86.815495617110599</v>
      </c>
      <c r="H33" s="6">
        <f t="shared" si="6"/>
        <v>114.06158652741399</v>
      </c>
      <c r="I33" s="2">
        <v>19.522414946457999</v>
      </c>
      <c r="K33" s="43">
        <v>76.112824887145607</v>
      </c>
    </row>
    <row r="34" spans="1:16">
      <c r="A34" s="2" t="s">
        <v>43</v>
      </c>
      <c r="B34" s="6">
        <v>80</v>
      </c>
      <c r="C34" s="2">
        <f t="shared" si="0"/>
        <v>0.40500000000000008</v>
      </c>
      <c r="D34" s="2">
        <v>45</v>
      </c>
      <c r="E34" s="43">
        <v>0.21236076338062199</v>
      </c>
      <c r="F34" s="6">
        <v>2.3785282545302402</v>
      </c>
      <c r="G34" s="6">
        <v>6.00273623244638</v>
      </c>
      <c r="H34" s="6">
        <f>E34*1000/25</f>
        <v>8.494430535224879</v>
      </c>
      <c r="I34" s="2">
        <v>1.2526138919468399</v>
      </c>
      <c r="K34" s="1">
        <f>G34*100/H34</f>
        <v>70.666729306386216</v>
      </c>
      <c r="P34" s="13"/>
    </row>
    <row r="35" spans="1:16">
      <c r="A35" s="2" t="s">
        <v>44</v>
      </c>
      <c r="B35" s="6">
        <v>80</v>
      </c>
      <c r="C35" s="2">
        <f t="shared" si="0"/>
        <v>0.40500000000000008</v>
      </c>
      <c r="D35" s="2">
        <v>45</v>
      </c>
      <c r="E35" s="2">
        <v>1.2913910003508799</v>
      </c>
      <c r="F35" s="6">
        <v>2.6574329936282499</v>
      </c>
      <c r="G35" s="6">
        <v>42.5544097329579</v>
      </c>
      <c r="H35" s="6">
        <f t="shared" ref="H35:H42" si="7">E35*1000/25</f>
        <v>51.6556400140352</v>
      </c>
      <c r="I35" s="2">
        <v>9.6197017661218496</v>
      </c>
      <c r="K35" s="1">
        <f>G35*100/H35</f>
        <v>82.380955344654666</v>
      </c>
    </row>
    <row r="36" spans="1:16">
      <c r="A36" s="2" t="s">
        <v>49</v>
      </c>
      <c r="B36" s="6">
        <v>80</v>
      </c>
      <c r="C36" s="2">
        <f t="shared" si="0"/>
        <v>0.40500000000000008</v>
      </c>
      <c r="D36" s="2">
        <v>45</v>
      </c>
      <c r="E36" s="2">
        <v>3.2824941482438801</v>
      </c>
      <c r="F36" s="6">
        <v>2.8849666862689198</v>
      </c>
      <c r="G36" s="6">
        <v>119.361842154011</v>
      </c>
      <c r="H36" s="6">
        <f t="shared" si="7"/>
        <v>131.29976592975518</v>
      </c>
      <c r="I36" s="2">
        <v>26.709577510784701</v>
      </c>
      <c r="K36" s="1">
        <f t="shared" ref="K36:K42" si="8">G36*100/H36</f>
        <v>90.907886475493854</v>
      </c>
    </row>
    <row r="37" spans="1:16">
      <c r="A37" s="2" t="s">
        <v>50</v>
      </c>
      <c r="B37" s="6">
        <v>80</v>
      </c>
      <c r="C37" s="2">
        <f t="shared" si="0"/>
        <v>0.40500000000000008</v>
      </c>
      <c r="D37" s="2">
        <v>45</v>
      </c>
      <c r="E37" s="2">
        <v>3.9240008154050199</v>
      </c>
      <c r="F37" s="6">
        <v>3.1685183725681498</v>
      </c>
      <c r="G37" s="6">
        <v>135.50211077901699</v>
      </c>
      <c r="H37" s="6">
        <f t="shared" si="7"/>
        <v>156.96003261620078</v>
      </c>
      <c r="I37" s="2">
        <v>30.361151639970299</v>
      </c>
      <c r="K37" s="1">
        <f t="shared" si="8"/>
        <v>86.32905365810366</v>
      </c>
      <c r="P37" s="1"/>
    </row>
    <row r="38" spans="1:16">
      <c r="A38" s="2" t="s">
        <v>51</v>
      </c>
      <c r="B38" s="6">
        <v>80</v>
      </c>
      <c r="C38" s="2">
        <f t="shared" si="0"/>
        <v>0.40500000000000008</v>
      </c>
      <c r="D38" s="2">
        <v>45</v>
      </c>
      <c r="E38" s="2">
        <v>4.3599107886015398</v>
      </c>
      <c r="F38" s="6">
        <v>3.3540961642224398</v>
      </c>
      <c r="G38" s="6">
        <v>137.58520413627801</v>
      </c>
      <c r="H38" s="6">
        <f t="shared" si="7"/>
        <v>174.39643154406158</v>
      </c>
      <c r="I38" s="2">
        <v>30.8083444385333</v>
      </c>
      <c r="K38" s="1">
        <f t="shared" si="8"/>
        <v>78.892212941591552</v>
      </c>
    </row>
    <row r="39" spans="1:16">
      <c r="A39" s="2" t="s">
        <v>52</v>
      </c>
      <c r="B39" s="6">
        <v>80</v>
      </c>
      <c r="C39" s="2">
        <f t="shared" si="0"/>
        <v>0.40500000000000008</v>
      </c>
      <c r="D39" s="2">
        <v>60</v>
      </c>
      <c r="E39" s="2">
        <v>0.31176070568847197</v>
      </c>
      <c r="F39" s="6">
        <v>2.3795679824428402</v>
      </c>
      <c r="G39" s="6">
        <v>8.4373229650197406</v>
      </c>
      <c r="H39" s="6">
        <f t="shared" si="7"/>
        <v>12.47042822753888</v>
      </c>
      <c r="I39" s="2">
        <v>1.68605906737388</v>
      </c>
      <c r="K39" s="1">
        <f t="shared" si="8"/>
        <v>67.6586466083603</v>
      </c>
    </row>
    <row r="40" spans="1:16">
      <c r="A40" s="2" t="s">
        <v>53</v>
      </c>
      <c r="B40" s="6">
        <v>80</v>
      </c>
      <c r="C40" s="2">
        <f t="shared" si="0"/>
        <v>0.40500000000000008</v>
      </c>
      <c r="D40" s="2">
        <v>60</v>
      </c>
      <c r="E40" s="2">
        <v>1.3845967704103399</v>
      </c>
      <c r="F40" s="6">
        <v>2.6465022098007198</v>
      </c>
      <c r="G40" s="6">
        <v>51.167277300519999</v>
      </c>
      <c r="H40" s="6">
        <f t="shared" si="7"/>
        <v>55.383870816413598</v>
      </c>
      <c r="I40" s="2">
        <v>11.461883266350901</v>
      </c>
      <c r="K40" s="1">
        <f t="shared" si="8"/>
        <v>92.386603800462481</v>
      </c>
    </row>
    <row r="41" spans="1:16">
      <c r="A41" s="2" t="s">
        <v>54</v>
      </c>
      <c r="B41" s="6">
        <v>80</v>
      </c>
      <c r="C41" s="2">
        <f t="shared" si="0"/>
        <v>0.40500000000000008</v>
      </c>
      <c r="D41" s="2">
        <v>60</v>
      </c>
      <c r="E41" s="2">
        <v>3.8546581681201602</v>
      </c>
      <c r="F41" s="6">
        <v>2.8684795722262302</v>
      </c>
      <c r="G41" s="6">
        <v>137.899109680348</v>
      </c>
      <c r="H41" s="6">
        <f t="shared" si="7"/>
        <v>154.18632672480641</v>
      </c>
      <c r="I41" s="2">
        <v>30.989986884451401</v>
      </c>
      <c r="K41" s="1">
        <f t="shared" si="8"/>
        <v>89.436665759910071</v>
      </c>
    </row>
    <row r="42" spans="1:16">
      <c r="A42" s="2" t="s">
        <v>55</v>
      </c>
      <c r="B42" s="6">
        <v>80</v>
      </c>
      <c r="C42" s="2">
        <f t="shared" si="0"/>
        <v>0.40500000000000008</v>
      </c>
      <c r="D42" s="2">
        <v>60</v>
      </c>
      <c r="E42" s="2">
        <v>5.1460525575871099</v>
      </c>
      <c r="F42" s="6">
        <v>3.07609777686165</v>
      </c>
      <c r="G42" s="6">
        <v>178.37446775833001</v>
      </c>
      <c r="H42" s="6">
        <f t="shared" si="7"/>
        <v>205.84210230348438</v>
      </c>
      <c r="I42" s="2">
        <v>40.219382568435201</v>
      </c>
      <c r="K42" s="1">
        <f t="shared" si="8"/>
        <v>86.655968707190283</v>
      </c>
    </row>
  </sheetData>
  <phoneticPr fontId="3" type="noConversion"/>
  <pageMargins left="0.75" right="0.75" top="1" bottom="1" header="0.5" footer="0.5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F849-53F2-43A0-898D-53606979F5F1}">
  <dimension ref="A1:B27"/>
  <sheetViews>
    <sheetView tabSelected="1" topLeftCell="A28" workbookViewId="0">
      <selection activeCell="A16" sqref="A16"/>
    </sheetView>
  </sheetViews>
  <sheetFormatPr defaultRowHeight="14.5"/>
  <cols>
    <col min="1" max="2" width="12.81640625" style="2" customWidth="1"/>
  </cols>
  <sheetData>
    <row r="1" spans="1:2">
      <c r="A1" s="1" t="s">
        <v>1</v>
      </c>
      <c r="B1" s="4" t="s">
        <v>59</v>
      </c>
    </row>
    <row r="2" spans="1:2">
      <c r="A2" s="6">
        <v>2.28136986301369</v>
      </c>
      <c r="B2" s="6">
        <v>3.0040080160320599</v>
      </c>
    </row>
    <row r="3" spans="1:2">
      <c r="A3" s="6">
        <v>2.3785282545302402</v>
      </c>
      <c r="B3" s="6">
        <v>8.4944305352248808</v>
      </c>
    </row>
    <row r="4" spans="1:2">
      <c r="A4" s="6">
        <v>2.3795679824428402</v>
      </c>
      <c r="B4" s="6">
        <v>12.4704282275389</v>
      </c>
    </row>
    <row r="5" spans="1:2">
      <c r="A5" s="6">
        <v>2.38493150684931</v>
      </c>
      <c r="B5" s="6">
        <v>6.6132264529058098</v>
      </c>
    </row>
    <row r="6" spans="1:2">
      <c r="A6" s="6">
        <v>2.3910958904109498</v>
      </c>
      <c r="B6" s="6">
        <v>3.5060120240480899</v>
      </c>
    </row>
    <row r="7" spans="1:2">
      <c r="A7" s="6">
        <v>2.3910958904109498</v>
      </c>
      <c r="B7" s="6">
        <v>6.4128256513026001</v>
      </c>
    </row>
    <row r="8" spans="1:2">
      <c r="A8" s="6">
        <v>2.4564383561643801</v>
      </c>
      <c r="B8" s="6">
        <v>7.8116232464929798</v>
      </c>
    </row>
    <row r="9" spans="1:2">
      <c r="A9" s="6">
        <v>2.46702940944667</v>
      </c>
      <c r="B9" s="6">
        <v>8.2206732608056399</v>
      </c>
    </row>
    <row r="10" spans="1:2">
      <c r="A10" s="8">
        <v>2.46876712328767</v>
      </c>
      <c r="B10" s="6">
        <v>7.6092184368737499</v>
      </c>
    </row>
    <row r="11" spans="1:2">
      <c r="A11" s="7">
        <v>2.5500803288328902</v>
      </c>
      <c r="B11" s="6">
        <v>10.9370782375305</v>
      </c>
    </row>
    <row r="12" spans="1:2">
      <c r="A12" s="9">
        <v>2.5501369863013599</v>
      </c>
      <c r="B12" s="6">
        <v>10.0200400801603</v>
      </c>
    </row>
    <row r="13" spans="1:2">
      <c r="A13" s="7">
        <v>2.5587671232876699</v>
      </c>
      <c r="B13" s="6">
        <v>11.222444889779499</v>
      </c>
    </row>
    <row r="14" spans="1:2">
      <c r="A14" s="6">
        <v>2.6465022098007198</v>
      </c>
      <c r="B14" s="6">
        <v>55.383870816413598</v>
      </c>
    </row>
    <row r="15" spans="1:2">
      <c r="A15" s="6">
        <v>2.6574329936282499</v>
      </c>
      <c r="B15" s="6">
        <v>51.6556400140352</v>
      </c>
    </row>
    <row r="16" spans="1:2">
      <c r="A16" s="7">
        <v>2.6684931506849301</v>
      </c>
      <c r="B16" s="6">
        <v>29.859719438877701</v>
      </c>
    </row>
    <row r="17" spans="1:2">
      <c r="A17" s="7">
        <v>2.6771232876712299</v>
      </c>
      <c r="B17" s="6">
        <v>21.643286573146199</v>
      </c>
    </row>
    <row r="18" spans="1:2">
      <c r="A18" s="7">
        <v>2.6808219178082102</v>
      </c>
      <c r="B18" s="6">
        <v>21.042084168336601</v>
      </c>
    </row>
    <row r="19" spans="1:2">
      <c r="A19" s="6">
        <v>2.6934445609801898</v>
      </c>
      <c r="B19" s="6">
        <v>21.386041143716099</v>
      </c>
    </row>
    <row r="20" spans="1:2">
      <c r="A20" s="8">
        <v>2.69808219178082</v>
      </c>
      <c r="B20" s="6">
        <v>20.240480961923801</v>
      </c>
    </row>
    <row r="21" spans="1:2">
      <c r="A21" s="6">
        <v>2.7067123287671202</v>
      </c>
      <c r="B21" s="6">
        <v>23.0460921843687</v>
      </c>
    </row>
    <row r="22" spans="1:2">
      <c r="A22" s="6">
        <v>2.8275342465753401</v>
      </c>
      <c r="B22" s="6">
        <v>34.869739478957896</v>
      </c>
    </row>
    <row r="23" spans="1:2">
      <c r="A23" s="6">
        <v>2.8496462500075701</v>
      </c>
      <c r="B23" s="6">
        <v>39.657124682122301</v>
      </c>
    </row>
    <row r="24" spans="1:2">
      <c r="A24" s="8">
        <v>2.8521917808219102</v>
      </c>
      <c r="B24" s="6">
        <v>37.875751503006001</v>
      </c>
    </row>
    <row r="25" spans="1:2">
      <c r="A25" s="6">
        <v>2.8558904109588998</v>
      </c>
      <c r="B25" s="6">
        <v>44.486973947895699</v>
      </c>
    </row>
    <row r="26" spans="1:2">
      <c r="A26" s="6">
        <v>2.8684795722262302</v>
      </c>
      <c r="B26" s="6">
        <v>154.18632672480601</v>
      </c>
    </row>
    <row r="27" spans="1:2">
      <c r="A27" s="6">
        <v>2.8849666862689198</v>
      </c>
      <c r="B27" s="6">
        <v>131.29976592975501</v>
      </c>
    </row>
  </sheetData>
  <sortState xmlns:xlrd2="http://schemas.microsoft.com/office/spreadsheetml/2017/richdata2" ref="A2:B27">
    <sortCondition ref="A2:A27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original</vt:lpstr>
      <vt:lpstr>xo</vt:lpstr>
      <vt:lpstr>yFE</vt:lpstr>
      <vt:lpstr>ySPCE</vt:lpstr>
      <vt:lpstr>Jiao</vt:lpstr>
      <vt:lpstr>tVTFE</vt:lpstr>
      <vt:lpstr>tVTAPCE</vt:lpstr>
      <vt:lpstr>tVTJ</vt:lpstr>
      <vt:lpstr>Jiao_ORIGIN_DATA</vt:lpstr>
      <vt:lpstr>new</vt:lpstr>
      <vt:lpstr>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YUANJING</dc:creator>
  <cp:lastModifiedBy>Zhao, Yuanjing (PG/R - Chemistry &amp; Chem Eng)</cp:lastModifiedBy>
  <dcterms:created xsi:type="dcterms:W3CDTF">2023-05-12T11:15:00Z</dcterms:created>
  <dcterms:modified xsi:type="dcterms:W3CDTF">2026-01-17T14:06:00Z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0D620D58F44543E58E035AC632A819BE_12</vt:lpwstr>
  </property>
</Properties>
</file>