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UANJING\Desktop\YJproject\SReh2o\data\"/>
    </mc:Choice>
  </mc:AlternateContent>
  <xr:revisionPtr revIDLastSave="0" documentId="13_ncr:1_{D2F53D5D-10F7-4C60-8B33-D7DC18FFE60E}" xr6:coauthVersionLast="47" xr6:coauthVersionMax="47" xr10:uidLastSave="{00000000-0000-0000-0000-000000000000}"/>
  <bookViews>
    <workbookView xWindow="-120" yWindow="-120" windowWidth="16440" windowHeight="28320" activeTab="4" xr2:uid="{00000000-000D-0000-FFFF-FFFF00000000}"/>
  </bookViews>
  <sheets>
    <sheet name="Sheet1" sheetId="1" r:id="rId1"/>
    <sheet name="old2" sheetId="2" r:id="rId2"/>
    <sheet name="base" sheetId="4" r:id="rId3"/>
    <sheet name="VTU_SPCE" sheetId="8" r:id="rId4"/>
    <sheet name="VTU_J" sheetId="9" r:id="rId5"/>
    <sheet name="old" sheetId="6" r:id="rId6"/>
    <sheet name="VTU_F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5" i="4"/>
  <c r="H4" i="4"/>
  <c r="H6" i="4" s="1"/>
  <c r="K2" i="4" s="1"/>
  <c r="D4" i="4"/>
  <c r="N3" i="4"/>
  <c r="E3" i="4"/>
  <c r="D3" i="4"/>
  <c r="D2" i="4"/>
  <c r="N4" i="4" l="1"/>
  <c r="K6" i="4"/>
  <c r="K5" i="4"/>
  <c r="K4" i="4"/>
  <c r="K3" i="4"/>
</calcChain>
</file>

<file path=xl/sharedStrings.xml><?xml version="1.0" encoding="utf-8"?>
<sst xmlns="http://schemas.openxmlformats.org/spreadsheetml/2006/main" count="66" uniqueCount="41">
  <si>
    <t>v sccm</t>
  </si>
  <si>
    <t>T C</t>
  </si>
  <si>
    <t>U V</t>
  </si>
  <si>
    <t>Jco mA/cm2</t>
  </si>
  <si>
    <t>J mA/cm2</t>
  </si>
  <si>
    <t>SPCE %</t>
  </si>
  <si>
    <t>→</t>
  </si>
  <si>
    <t>FE</t>
  </si>
  <si>
    <t>nCO</t>
  </si>
  <si>
    <t xml:space="preserve">SPCE </t>
  </si>
  <si>
    <t>kmol/h</t>
  </si>
  <si>
    <t>propoation</t>
  </si>
  <si>
    <t>进料流量</t>
  </si>
  <si>
    <t>PSA CO2 回收率</t>
  </si>
  <si>
    <t>CO2</t>
  </si>
  <si>
    <t>CO2年排放</t>
  </si>
  <si>
    <t>tonne</t>
  </si>
  <si>
    <t>purity</t>
  </si>
  <si>
    <t>N2</t>
  </si>
  <si>
    <t>工作时间每年</t>
  </si>
  <si>
    <t>h</t>
  </si>
  <si>
    <t>H2O</t>
  </si>
  <si>
    <t>CO2 流量</t>
  </si>
  <si>
    <t>kg/h</t>
  </si>
  <si>
    <t>CO2 pure inlet</t>
  </si>
  <si>
    <t>O2</t>
  </si>
  <si>
    <t>kg/kmol</t>
  </si>
  <si>
    <t>H2S</t>
  </si>
  <si>
    <t>CO2摩尔流量</t>
  </si>
  <si>
    <t>total</t>
  </si>
  <si>
    <t>c</t>
  </si>
  <si>
    <t>P</t>
  </si>
  <si>
    <t>bar</t>
  </si>
  <si>
    <t>V_sccm</t>
  </si>
  <si>
    <t>T_C</t>
  </si>
  <si>
    <t>U_V</t>
  </si>
  <si>
    <t>sccm</t>
  </si>
  <si>
    <t>T</t>
  </si>
  <si>
    <t>V</t>
  </si>
  <si>
    <t>SPCE</t>
  </si>
  <si>
    <t>JmAcm2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</si>
</sst>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'old2'!$B$46:$B$53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</c:numCache>
            </c:numRef>
          </c:xVal>
          <c:yVal>
            <c:numRef>
              <c:f>'old2'!$D$46:$D$53</c:f>
              <c:numCache>
                <c:formatCode>General</c:formatCode>
                <c:ptCount val="8"/>
                <c:pt idx="0">
                  <c:v>9.4161271881711903E-3</c:v>
                </c:pt>
                <c:pt idx="1">
                  <c:v>1.8870571512445301E-2</c:v>
                </c:pt>
                <c:pt idx="2">
                  <c:v>3.9142190565950197E-2</c:v>
                </c:pt>
                <c:pt idx="3">
                  <c:v>7.5005793921789701E-2</c:v>
                </c:pt>
                <c:pt idx="4">
                  <c:v>0.14475534199588999</c:v>
                </c:pt>
                <c:pt idx="5">
                  <c:v>0.196207839562443</c:v>
                </c:pt>
                <c:pt idx="6">
                  <c:v>0.22052995071303799</c:v>
                </c:pt>
                <c:pt idx="7">
                  <c:v>0.175679124886052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1E-45C5-A9AC-0C9EE0775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878927"/>
        <c:axId val="1678866927"/>
      </c:scatterChart>
      <c:valAx>
        <c:axId val="167887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66927"/>
        <c:crosses val="autoZero"/>
        <c:crossBetween val="midCat"/>
      </c:valAx>
      <c:valAx>
        <c:axId val="16788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7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26</xdr:row>
      <xdr:rowOff>52387</xdr:rowOff>
    </xdr:from>
    <xdr:to>
      <xdr:col>18</xdr:col>
      <xdr:colOff>228600</xdr:colOff>
      <xdr:row>40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8FC2D-314F-0BB1-D065-6BD146623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opLeftCell="A13" workbookViewId="0">
      <selection activeCell="I36" sqref="I3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160</v>
      </c>
      <c r="B2">
        <v>25</v>
      </c>
      <c r="C2">
        <v>2.3807775377969702</v>
      </c>
      <c r="D2">
        <v>3.5121801515932098</v>
      </c>
      <c r="E2">
        <v>6.2022239377166102</v>
      </c>
      <c r="F2">
        <v>0.34167173102507298</v>
      </c>
      <c r="G2">
        <v>3.4167173102507297E-3</v>
      </c>
      <c r="I2">
        <v>0.56627754606458802</v>
      </c>
    </row>
    <row r="3" spans="1:10" x14ac:dyDescent="0.25">
      <c r="A3">
        <v>160</v>
      </c>
      <c r="B3">
        <v>25</v>
      </c>
      <c r="C3">
        <v>2.6684665226781799</v>
      </c>
      <c r="D3">
        <v>21.683715597658299</v>
      </c>
      <c r="E3">
        <v>29.984232051639999</v>
      </c>
      <c r="F3">
        <v>3.1674851764860299</v>
      </c>
      <c r="G3">
        <v>3.1674851764860297E-2</v>
      </c>
      <c r="I3">
        <v>0.7231706171535015</v>
      </c>
    </row>
    <row r="4" spans="1:10" x14ac:dyDescent="0.25">
      <c r="A4">
        <v>160</v>
      </c>
      <c r="B4">
        <v>25</v>
      </c>
      <c r="C4">
        <v>2.9503239740820701</v>
      </c>
      <c r="D4">
        <v>53.731058083717897</v>
      </c>
      <c r="E4">
        <v>63.412282574774501</v>
      </c>
      <c r="F4">
        <v>6.3338863065223299</v>
      </c>
      <c r="G4">
        <v>6.3338863065223294E-2</v>
      </c>
      <c r="I4">
        <v>0.84732887544868463</v>
      </c>
    </row>
    <row r="5" spans="1:10" x14ac:dyDescent="0.25">
      <c r="A5">
        <v>160</v>
      </c>
      <c r="B5">
        <v>25</v>
      </c>
      <c r="C5">
        <v>3.1699784017278598</v>
      </c>
      <c r="D5">
        <v>167.895141257332</v>
      </c>
      <c r="E5">
        <v>189.531232035215</v>
      </c>
      <c r="F5">
        <v>16.254882315260399</v>
      </c>
      <c r="G5">
        <v>0.16254882315260399</v>
      </c>
      <c r="I5">
        <v>0.8858441928248374</v>
      </c>
    </row>
    <row r="6" spans="1:10" x14ac:dyDescent="0.25">
      <c r="A6">
        <v>160</v>
      </c>
      <c r="B6">
        <v>25</v>
      </c>
      <c r="C6">
        <v>3.4187904967602498</v>
      </c>
      <c r="D6">
        <v>179.80619459290401</v>
      </c>
      <c r="E6">
        <v>206.06441863902799</v>
      </c>
      <c r="F6">
        <v>16.3359886996369</v>
      </c>
      <c r="G6">
        <v>0.163359886996369</v>
      </c>
      <c r="I6">
        <v>0.87257274099260362</v>
      </c>
    </row>
    <row r="7" spans="1:10" x14ac:dyDescent="0.25">
      <c r="A7">
        <v>160</v>
      </c>
      <c r="B7">
        <v>25</v>
      </c>
      <c r="C7">
        <v>3.64816414686825</v>
      </c>
      <c r="D7">
        <v>139.35778435312301</v>
      </c>
      <c r="E7">
        <v>209.85020449058001</v>
      </c>
      <c r="F7">
        <v>15.8198840398797</v>
      </c>
      <c r="G7">
        <v>0.158198840398797</v>
      </c>
      <c r="I7">
        <v>0.66408219468463114</v>
      </c>
    </row>
    <row r="8" spans="1:10" x14ac:dyDescent="0.25">
      <c r="A8">
        <v>160</v>
      </c>
      <c r="B8">
        <v>25</v>
      </c>
      <c r="C8">
        <v>3.8386609071274198</v>
      </c>
      <c r="D8">
        <v>142.603315595342</v>
      </c>
      <c r="E8">
        <v>264.64333229308602</v>
      </c>
      <c r="F8">
        <v>20.782747236502701</v>
      </c>
      <c r="G8">
        <v>0.20782747236502699</v>
      </c>
      <c r="I8">
        <v>0.53885096729893167</v>
      </c>
    </row>
    <row r="9" spans="1:10" x14ac:dyDescent="0.25">
      <c r="A9">
        <v>120</v>
      </c>
      <c r="B9">
        <v>25</v>
      </c>
      <c r="C9">
        <v>2.38660907127429</v>
      </c>
      <c r="D9">
        <v>1.3044696263441</v>
      </c>
      <c r="E9">
        <v>2.0710214674046901</v>
      </c>
      <c r="F9">
        <v>0.68620140269039998</v>
      </c>
      <c r="G9">
        <v>6.8620140269039995E-3</v>
      </c>
      <c r="I9">
        <v>0.62986774732895556</v>
      </c>
    </row>
    <row r="10" spans="1:10" x14ac:dyDescent="0.25">
      <c r="A10">
        <v>120</v>
      </c>
      <c r="B10">
        <v>25</v>
      </c>
      <c r="C10">
        <v>2.6820734341252699</v>
      </c>
      <c r="D10">
        <v>5.3023642290922002</v>
      </c>
      <c r="E10">
        <v>7.2399520391570702</v>
      </c>
      <c r="F10">
        <v>1.11390700195457</v>
      </c>
      <c r="G10">
        <v>1.1139070019545701E-2</v>
      </c>
      <c r="I10">
        <v>0.73237560144245673</v>
      </c>
    </row>
    <row r="11" spans="1:10" x14ac:dyDescent="0.25">
      <c r="A11">
        <v>120</v>
      </c>
      <c r="B11">
        <v>25</v>
      </c>
      <c r="C11">
        <v>2.9619870410367102</v>
      </c>
      <c r="D11">
        <v>20.7971383737022</v>
      </c>
      <c r="E11">
        <v>23.028037383177502</v>
      </c>
      <c r="F11">
        <v>2.99837393032537</v>
      </c>
      <c r="G11">
        <v>2.9983739303253699E-2</v>
      </c>
      <c r="I11">
        <v>0.90312248619567448</v>
      </c>
    </row>
    <row r="12" spans="1:10" x14ac:dyDescent="0.25">
      <c r="A12">
        <v>120</v>
      </c>
      <c r="B12">
        <v>25</v>
      </c>
      <c r="C12">
        <v>3.2146868250539899</v>
      </c>
      <c r="D12">
        <v>65.797138373702197</v>
      </c>
      <c r="E12">
        <v>73.425422531741205</v>
      </c>
      <c r="F12">
        <v>10.6228668101111</v>
      </c>
      <c r="G12">
        <v>0.10622866810111101</v>
      </c>
      <c r="I12">
        <v>0.89610840639369338</v>
      </c>
    </row>
    <row r="13" spans="1:10" x14ac:dyDescent="0.25">
      <c r="A13">
        <v>120</v>
      </c>
      <c r="B13">
        <v>25</v>
      </c>
      <c r="C13">
        <v>3.4596112311015101</v>
      </c>
      <c r="D13">
        <v>134.19938737340601</v>
      </c>
      <c r="E13">
        <v>180.951497133846</v>
      </c>
      <c r="F13">
        <v>21.665062496920299</v>
      </c>
      <c r="G13">
        <v>0.21665062496920298</v>
      </c>
      <c r="I13">
        <v>0.74163181570220205</v>
      </c>
    </row>
    <row r="14" spans="1:10" x14ac:dyDescent="0.25">
      <c r="A14">
        <v>120</v>
      </c>
      <c r="B14">
        <v>25</v>
      </c>
      <c r="C14">
        <v>3.7084233261339001</v>
      </c>
      <c r="D14">
        <v>143.083052015356</v>
      </c>
      <c r="E14">
        <v>270.51147282492599</v>
      </c>
      <c r="F14">
        <v>23.012827882988599</v>
      </c>
      <c r="G14">
        <v>0.23012827882988598</v>
      </c>
      <c r="I14">
        <v>0.52893524448761109</v>
      </c>
    </row>
    <row r="15" spans="1:10" x14ac:dyDescent="0.25">
      <c r="A15">
        <v>80</v>
      </c>
      <c r="B15">
        <v>25</v>
      </c>
      <c r="C15">
        <v>2.47213822894168</v>
      </c>
      <c r="D15">
        <v>2.5214980978465298</v>
      </c>
      <c r="E15">
        <v>3.1043148333689001</v>
      </c>
      <c r="F15">
        <v>0.68590575365865902</v>
      </c>
      <c r="G15">
        <v>6.8590575365865903E-3</v>
      </c>
      <c r="H15">
        <v>0.96604185833474021</v>
      </c>
      <c r="I15">
        <v>0.81225591900101213</v>
      </c>
      <c r="J15">
        <v>3.155766062381684E-7</v>
      </c>
    </row>
    <row r="16" spans="1:10" x14ac:dyDescent="0.25">
      <c r="A16">
        <v>80</v>
      </c>
      <c r="B16">
        <v>25</v>
      </c>
      <c r="C16">
        <v>2.5498920086393002</v>
      </c>
      <c r="D16">
        <v>6.4864301472504096</v>
      </c>
      <c r="E16">
        <v>7.5873396514626199</v>
      </c>
      <c r="F16">
        <v>1.6288290655847899</v>
      </c>
      <c r="G16">
        <v>1.6288290655847901E-2</v>
      </c>
      <c r="H16">
        <v>0.89178447733366639</v>
      </c>
      <c r="I16">
        <v>0.85490177654034682</v>
      </c>
      <c r="J16">
        <v>7.4940375688281114E-7</v>
      </c>
    </row>
    <row r="17" spans="1:10" x14ac:dyDescent="0.25">
      <c r="A17">
        <v>80</v>
      </c>
      <c r="B17">
        <v>25</v>
      </c>
      <c r="C17">
        <v>2.70539956803455</v>
      </c>
      <c r="D17">
        <v>16.429162878765901</v>
      </c>
      <c r="E17">
        <v>18.278501387907902</v>
      </c>
      <c r="F17">
        <v>4.0292035543583502</v>
      </c>
      <c r="G17">
        <v>4.0292035543583501E-2</v>
      </c>
      <c r="H17">
        <v>0.87095139039598746</v>
      </c>
      <c r="I17">
        <v>0.8988243910211684</v>
      </c>
      <c r="J17">
        <v>1.8537858543171614E-6</v>
      </c>
    </row>
    <row r="18" spans="1:10" x14ac:dyDescent="0.25">
      <c r="A18">
        <v>80</v>
      </c>
      <c r="B18">
        <v>25</v>
      </c>
      <c r="C18">
        <v>2.8570194384449201</v>
      </c>
      <c r="D18">
        <v>32.805632922020401</v>
      </c>
      <c r="E18">
        <v>36.897491910713903</v>
      </c>
      <c r="F18">
        <v>7.45735262717014</v>
      </c>
      <c r="G18">
        <v>7.4573526271701399E-2</v>
      </c>
      <c r="H18">
        <v>0.80728410613072155</v>
      </c>
      <c r="I18">
        <v>0.88910197477391817</v>
      </c>
      <c r="J18">
        <v>3.4310341049782103E-6</v>
      </c>
    </row>
    <row r="19" spans="1:10" x14ac:dyDescent="0.25">
      <c r="A19">
        <v>80</v>
      </c>
      <c r="B19">
        <v>25</v>
      </c>
      <c r="C19">
        <v>3.0319654427645699</v>
      </c>
      <c r="D19">
        <v>63.1265959849217</v>
      </c>
      <c r="E19">
        <v>74.4803968267003</v>
      </c>
      <c r="F19">
        <v>14.399388992001001</v>
      </c>
      <c r="G19">
        <v>0.14399388992001</v>
      </c>
      <c r="H19">
        <v>0.81006867128799398</v>
      </c>
      <c r="I19">
        <v>0.84755987715537517</v>
      </c>
      <c r="J19">
        <v>6.624977682080055E-6</v>
      </c>
    </row>
    <row r="20" spans="1:10" x14ac:dyDescent="0.25">
      <c r="A20">
        <v>80</v>
      </c>
      <c r="B20">
        <v>25</v>
      </c>
      <c r="C20">
        <v>3.1952483801295801</v>
      </c>
      <c r="D20">
        <v>85.939119508508995</v>
      </c>
      <c r="E20">
        <v>112.395906903404</v>
      </c>
      <c r="F20">
        <v>19.281244353924698</v>
      </c>
      <c r="G20">
        <v>0.19281244353924698</v>
      </c>
      <c r="H20">
        <v>0.79677243773862971</v>
      </c>
      <c r="I20">
        <v>0.76461075742168561</v>
      </c>
      <c r="J20">
        <v>8.8710579038070851E-6</v>
      </c>
    </row>
    <row r="21" spans="1:10" x14ac:dyDescent="0.25">
      <c r="A21">
        <v>80</v>
      </c>
      <c r="B21">
        <v>25</v>
      </c>
      <c r="C21">
        <v>3.3838012958963199</v>
      </c>
      <c r="D21">
        <v>97.763449701503703</v>
      </c>
      <c r="E21">
        <v>138.90675558037501</v>
      </c>
      <c r="F21">
        <v>17.471083882200201</v>
      </c>
      <c r="G21">
        <v>0.174710838822002</v>
      </c>
      <c r="H21">
        <v>0.63464881681820873</v>
      </c>
      <c r="I21">
        <v>0.7038063000826138</v>
      </c>
      <c r="J21">
        <v>8.0382258487233493E-6</v>
      </c>
    </row>
    <row r="22" spans="1:10" x14ac:dyDescent="0.25">
      <c r="A22">
        <v>80</v>
      </c>
      <c r="B22">
        <v>25</v>
      </c>
      <c r="C22">
        <v>3.6112311015118701</v>
      </c>
      <c r="D22">
        <v>77.958181576036907</v>
      </c>
      <c r="E22">
        <v>152.70814513082399</v>
      </c>
      <c r="F22">
        <v>21.673143570454702</v>
      </c>
      <c r="G22">
        <v>0.216731435704547</v>
      </c>
      <c r="H22">
        <v>0.98730276025446717</v>
      </c>
      <c r="I22">
        <v>0.5105044102870262</v>
      </c>
      <c r="J22">
        <v>9.9715406351298377E-6</v>
      </c>
    </row>
    <row r="23" spans="1:10" x14ac:dyDescent="0.25">
      <c r="A23">
        <v>30</v>
      </c>
      <c r="B23">
        <v>25</v>
      </c>
      <c r="C23">
        <v>2.2796976241900602</v>
      </c>
      <c r="D23">
        <v>1.08425642302503</v>
      </c>
      <c r="E23">
        <v>2.7608692081533301</v>
      </c>
      <c r="F23">
        <v>0.85767784110507195</v>
      </c>
      <c r="G23">
        <v>8.5767784110507197E-3</v>
      </c>
      <c r="I23">
        <v>0.39272284968191573</v>
      </c>
    </row>
    <row r="24" spans="1:10" x14ac:dyDescent="0.25">
      <c r="A24">
        <v>30</v>
      </c>
      <c r="B24">
        <v>25</v>
      </c>
      <c r="C24">
        <v>2.4468682505399499</v>
      </c>
      <c r="D24">
        <v>4.0582168976079904</v>
      </c>
      <c r="E24">
        <v>5.5291296421004104</v>
      </c>
      <c r="F24">
        <v>3.0886454346861898</v>
      </c>
      <c r="G24">
        <v>3.0886454346861898E-2</v>
      </c>
      <c r="I24">
        <v>0.73397029194387842</v>
      </c>
    </row>
    <row r="25" spans="1:10" x14ac:dyDescent="0.25">
      <c r="A25">
        <v>30</v>
      </c>
      <c r="B25">
        <v>25</v>
      </c>
      <c r="C25">
        <v>2.5596112311015098</v>
      </c>
      <c r="D25">
        <v>7.82836032634816</v>
      </c>
      <c r="E25">
        <v>10.0215166795328</v>
      </c>
      <c r="F25">
        <v>5.6624673554194001</v>
      </c>
      <c r="G25">
        <v>5.6624673554194004E-2</v>
      </c>
      <c r="I25">
        <v>0.78115524592562124</v>
      </c>
    </row>
    <row r="26" spans="1:10" x14ac:dyDescent="0.25">
      <c r="A26">
        <v>30</v>
      </c>
      <c r="B26">
        <v>25</v>
      </c>
      <c r="C26">
        <v>2.70539956803455</v>
      </c>
      <c r="D26">
        <v>18.573934996728301</v>
      </c>
      <c r="E26">
        <v>23.4907938176502</v>
      </c>
      <c r="F26">
        <v>12.0105448154657</v>
      </c>
      <c r="G26">
        <v>0.120105448154657</v>
      </c>
      <c r="I26">
        <v>0.79068996735105923</v>
      </c>
    </row>
    <row r="27" spans="1:10" x14ac:dyDescent="0.25">
      <c r="A27">
        <v>30</v>
      </c>
      <c r="B27">
        <v>25</v>
      </c>
      <c r="C27">
        <v>2.8570194384449201</v>
      </c>
      <c r="D27">
        <v>35.2185015547281</v>
      </c>
      <c r="E27">
        <v>43.871359821296501</v>
      </c>
      <c r="F27">
        <v>22.3051426506578</v>
      </c>
      <c r="G27">
        <v>0.223051426506578</v>
      </c>
      <c r="I27">
        <v>0.80276749337575726</v>
      </c>
    </row>
    <row r="28" spans="1:10" x14ac:dyDescent="0.25">
      <c r="A28">
        <v>30</v>
      </c>
      <c r="B28">
        <v>25</v>
      </c>
      <c r="C28">
        <v>3.0902807775377901</v>
      </c>
      <c r="D28">
        <v>58.041447836987999</v>
      </c>
      <c r="E28">
        <v>87.007046301923296</v>
      </c>
      <c r="F28">
        <v>36.541727575842103</v>
      </c>
      <c r="G28">
        <v>0.36541727575842103</v>
      </c>
      <c r="I28">
        <v>0.66708904972567706</v>
      </c>
    </row>
    <row r="29" spans="1:10" x14ac:dyDescent="0.25">
      <c r="A29">
        <v>30</v>
      </c>
      <c r="B29">
        <v>25</v>
      </c>
      <c r="C29">
        <v>3.2166306695464302</v>
      </c>
      <c r="D29">
        <v>61.277424883757199</v>
      </c>
      <c r="E29">
        <v>98.041160915198006</v>
      </c>
      <c r="F29">
        <v>38.6844932082847</v>
      </c>
      <c r="G29">
        <v>0.38684493208284698</v>
      </c>
      <c r="I29">
        <v>0.62501733263603354</v>
      </c>
    </row>
    <row r="30" spans="1:10" x14ac:dyDescent="0.25">
      <c r="A30">
        <v>30</v>
      </c>
      <c r="B30">
        <v>25</v>
      </c>
      <c r="C30">
        <v>3.4751619870410302</v>
      </c>
      <c r="D30">
        <v>42.8172716692047</v>
      </c>
      <c r="E30">
        <v>137.93259202076101</v>
      </c>
      <c r="F30">
        <v>27.771791797381798</v>
      </c>
      <c r="G30">
        <v>0.27771791797381801</v>
      </c>
      <c r="I30">
        <v>0.31042171427301268</v>
      </c>
    </row>
    <row r="31" spans="1:10" x14ac:dyDescent="0.25">
      <c r="A31">
        <v>15</v>
      </c>
      <c r="B31">
        <v>25</v>
      </c>
      <c r="C31">
        <v>2.39049676025917</v>
      </c>
      <c r="D31">
        <v>2.1731451832378901</v>
      </c>
      <c r="E31">
        <v>5.8706042737709998</v>
      </c>
      <c r="F31">
        <v>2.5735262717014602</v>
      </c>
      <c r="G31">
        <v>2.5735262717014602E-2</v>
      </c>
      <c r="I31">
        <v>0.37017401989556414</v>
      </c>
    </row>
    <row r="32" spans="1:10" x14ac:dyDescent="0.25">
      <c r="A32">
        <v>15</v>
      </c>
      <c r="B32">
        <v>25</v>
      </c>
      <c r="C32">
        <v>2.6820734341252699</v>
      </c>
      <c r="D32">
        <v>12.404240904695399</v>
      </c>
      <c r="E32">
        <v>21.798695859271</v>
      </c>
      <c r="F32">
        <v>17.247080465811401</v>
      </c>
      <c r="G32">
        <v>0.17247080465811401</v>
      </c>
      <c r="I32">
        <v>0.56903591778036888</v>
      </c>
    </row>
    <row r="33" spans="1:10" x14ac:dyDescent="0.25">
      <c r="A33">
        <v>15</v>
      </c>
      <c r="B33">
        <v>25</v>
      </c>
      <c r="C33">
        <v>2.8336933045356298</v>
      </c>
      <c r="D33">
        <v>25.0273597415155</v>
      </c>
      <c r="E33">
        <v>35.672026674112601</v>
      </c>
      <c r="F33">
        <v>33.981308411214897</v>
      </c>
      <c r="G33">
        <v>0.33981308411214894</v>
      </c>
      <c r="I33">
        <v>0.7015962387042618</v>
      </c>
    </row>
    <row r="34" spans="1:10" x14ac:dyDescent="0.25">
      <c r="A34">
        <v>15</v>
      </c>
      <c r="B34">
        <v>25</v>
      </c>
      <c r="C34">
        <v>2.97170626349891</v>
      </c>
      <c r="D34">
        <v>32.018425121164498</v>
      </c>
      <c r="E34">
        <v>50.190365126554198</v>
      </c>
      <c r="F34">
        <v>43.0758668265361</v>
      </c>
      <c r="G34">
        <v>0.43075866826536102</v>
      </c>
      <c r="I34">
        <v>0.63793967309125077</v>
      </c>
    </row>
    <row r="35" spans="1:10" x14ac:dyDescent="0.25">
      <c r="A35">
        <v>15</v>
      </c>
      <c r="B35">
        <v>25</v>
      </c>
      <c r="C35">
        <v>3.15053995680345</v>
      </c>
      <c r="D35">
        <v>31.240771515758599</v>
      </c>
      <c r="E35">
        <v>85.662828704235906</v>
      </c>
      <c r="F35">
        <v>42.379022058702702</v>
      </c>
      <c r="G35">
        <v>0.42379022058702703</v>
      </c>
      <c r="I35">
        <v>0.36469460544692223</v>
      </c>
    </row>
    <row r="36" spans="1:10" x14ac:dyDescent="0.25">
      <c r="A36">
        <v>80</v>
      </c>
      <c r="B36">
        <v>60</v>
      </c>
      <c r="C36">
        <v>2.3765724703737399</v>
      </c>
      <c r="D36">
        <v>8.5130520070000006</v>
      </c>
      <c r="E36">
        <v>11.169418767384947</v>
      </c>
      <c r="F36">
        <v>1.8270475719604902</v>
      </c>
      <c r="G36">
        <v>1.8270475719604901E-2</v>
      </c>
      <c r="I36">
        <v>0.76217502309595364</v>
      </c>
      <c r="J36">
        <v>8.406015974053325E-7</v>
      </c>
    </row>
    <row r="37" spans="1:10" x14ac:dyDescent="0.25">
      <c r="A37">
        <v>80</v>
      </c>
      <c r="B37">
        <v>60</v>
      </c>
      <c r="C37">
        <v>2.6486782133090201</v>
      </c>
      <c r="D37">
        <v>50.822417719999997</v>
      </c>
      <c r="E37">
        <v>63.944701256946523</v>
      </c>
      <c r="F37">
        <v>11.3740710412063</v>
      </c>
      <c r="G37">
        <v>0.113740710412063</v>
      </c>
      <c r="I37">
        <v>0.79478700691371185</v>
      </c>
      <c r="J37">
        <v>5.2330669616776169E-6</v>
      </c>
    </row>
    <row r="38" spans="1:10" x14ac:dyDescent="0.25">
      <c r="A38">
        <v>80</v>
      </c>
      <c r="B38">
        <v>60</v>
      </c>
      <c r="C38">
        <v>2.87155879671832</v>
      </c>
      <c r="D38">
        <v>137.28053729999999</v>
      </c>
      <c r="E38">
        <v>171.42173086774986</v>
      </c>
      <c r="F38">
        <v>30.957217681504201</v>
      </c>
      <c r="G38">
        <v>0.30957217681504201</v>
      </c>
      <c r="I38">
        <v>0.80083509018999777</v>
      </c>
      <c r="J38">
        <v>1.4243026308490546E-5</v>
      </c>
    </row>
    <row r="39" spans="1:10" x14ac:dyDescent="0.25">
      <c r="A39">
        <v>80</v>
      </c>
      <c r="B39">
        <v>60</v>
      </c>
      <c r="C39">
        <v>3.0821330902461201</v>
      </c>
      <c r="D39">
        <v>177.69164409999999</v>
      </c>
      <c r="E39">
        <v>222.09139995160382</v>
      </c>
      <c r="F39">
        <v>40.032445962022699</v>
      </c>
      <c r="G39">
        <v>0.400324459620227</v>
      </c>
      <c r="I39">
        <v>0.80008340772637287</v>
      </c>
      <c r="J39">
        <v>1.8418424643212651E-5</v>
      </c>
    </row>
    <row r="40" spans="1:10" x14ac:dyDescent="0.25">
      <c r="A40">
        <v>80</v>
      </c>
      <c r="B40">
        <v>60</v>
      </c>
      <c r="C40">
        <v>3.26262534184138</v>
      </c>
      <c r="D40">
        <v>165.91319999999999</v>
      </c>
      <c r="E40">
        <v>207.7391141068849</v>
      </c>
      <c r="F40">
        <v>37.312423713363003</v>
      </c>
      <c r="G40">
        <v>0.37312423713363002</v>
      </c>
      <c r="I40">
        <v>0.79866134364390884</v>
      </c>
      <c r="J40">
        <v>1.7166976633707386E-5</v>
      </c>
    </row>
    <row r="41" spans="1:10" x14ac:dyDescent="0.25">
      <c r="A41">
        <v>80</v>
      </c>
      <c r="B41">
        <v>45</v>
      </c>
      <c r="C41">
        <v>2.3779398359999999</v>
      </c>
      <c r="D41">
        <v>5.20748173986658</v>
      </c>
      <c r="E41">
        <v>5.9441955604840304</v>
      </c>
      <c r="F41">
        <v>1.2846128999999999</v>
      </c>
      <c r="G41">
        <v>1.2846129E-2</v>
      </c>
      <c r="I41">
        <v>0.87606164482289328</v>
      </c>
      <c r="J41">
        <v>5.9103423050379573E-7</v>
      </c>
    </row>
    <row r="42" spans="1:10" x14ac:dyDescent="0.25">
      <c r="A42">
        <v>80</v>
      </c>
      <c r="B42">
        <v>45</v>
      </c>
      <c r="C42">
        <v>2.658249772</v>
      </c>
      <c r="D42">
        <v>42.796445840535497</v>
      </c>
      <c r="E42">
        <v>53.661153286046449</v>
      </c>
      <c r="F42">
        <v>9.6109265999999991</v>
      </c>
      <c r="G42">
        <v>9.6109265999999999E-2</v>
      </c>
      <c r="I42">
        <v>0.7975312347911071</v>
      </c>
      <c r="J42">
        <v>4.4218663906142169E-6</v>
      </c>
    </row>
    <row r="43" spans="1:10" x14ac:dyDescent="0.25">
      <c r="A43">
        <v>80</v>
      </c>
      <c r="B43">
        <v>45</v>
      </c>
      <c r="C43">
        <v>2.8879671830000002</v>
      </c>
      <c r="D43">
        <v>119.10151226885399</v>
      </c>
      <c r="E43">
        <v>149.68300308678366</v>
      </c>
      <c r="F43">
        <v>26.685289600000001</v>
      </c>
      <c r="G43">
        <v>0.26685289600000001</v>
      </c>
      <c r="I43">
        <v>0.79569162705668706</v>
      </c>
      <c r="J43">
        <v>1.2277565953531171E-5</v>
      </c>
    </row>
    <row r="44" spans="1:10" x14ac:dyDescent="0.25">
      <c r="A44">
        <v>80</v>
      </c>
      <c r="B44">
        <v>45</v>
      </c>
      <c r="C44">
        <v>3.1669097540000002</v>
      </c>
      <c r="D44">
        <v>134.49406082378201</v>
      </c>
      <c r="E44">
        <v>168.2916011032799</v>
      </c>
      <c r="F44">
        <v>30.265902400000002</v>
      </c>
      <c r="G44">
        <v>0.302659024</v>
      </c>
      <c r="I44">
        <v>0.79917274505721481</v>
      </c>
      <c r="J44">
        <v>1.3924960846560847E-5</v>
      </c>
    </row>
    <row r="45" spans="1:10" x14ac:dyDescent="0.25">
      <c r="A45">
        <v>80</v>
      </c>
      <c r="B45">
        <v>45</v>
      </c>
      <c r="C45">
        <v>3.3583409299999998</v>
      </c>
      <c r="D45">
        <v>136.884986136371</v>
      </c>
      <c r="E45">
        <v>172.44615943445254</v>
      </c>
      <c r="F45">
        <v>30.5962332</v>
      </c>
      <c r="G45">
        <v>0.305962332</v>
      </c>
      <c r="I45">
        <v>0.79378390672945964</v>
      </c>
      <c r="J45">
        <v>1.4076941890959283E-5</v>
      </c>
    </row>
    <row r="46" spans="1:10" x14ac:dyDescent="0.25">
      <c r="A46">
        <v>80</v>
      </c>
      <c r="B46">
        <v>25</v>
      </c>
      <c r="C46">
        <v>2.46681859617137</v>
      </c>
      <c r="D46">
        <v>4.27758196</v>
      </c>
      <c r="E46">
        <v>5.471850450640348</v>
      </c>
      <c r="F46">
        <v>0.94161271881711905</v>
      </c>
      <c r="G46">
        <v>9.4161271881711903E-3</v>
      </c>
      <c r="H46">
        <v>0.81225591900101213</v>
      </c>
      <c r="I46">
        <v>0.78174321440006</v>
      </c>
      <c r="J46">
        <v>4.3322416324689165E-7</v>
      </c>
    </row>
    <row r="47" spans="1:10" x14ac:dyDescent="0.25">
      <c r="A47">
        <v>80</v>
      </c>
      <c r="B47">
        <v>25</v>
      </c>
      <c r="C47">
        <v>2.5488605287146702</v>
      </c>
      <c r="D47">
        <v>7.1237886110000002</v>
      </c>
      <c r="E47">
        <v>7.572631971753494</v>
      </c>
      <c r="F47">
        <v>1.88705715124453</v>
      </c>
      <c r="G47">
        <v>1.8870571512445301E-2</v>
      </c>
      <c r="H47">
        <v>0.85490177654034682</v>
      </c>
      <c r="I47">
        <v>0.94072822204648077</v>
      </c>
      <c r="J47">
        <v>8.6821124970992875E-7</v>
      </c>
    </row>
    <row r="48" spans="1:10" x14ac:dyDescent="0.25">
      <c r="A48">
        <v>80</v>
      </c>
      <c r="B48">
        <v>25</v>
      </c>
      <c r="C48">
        <v>2.6979033728349999</v>
      </c>
      <c r="D48">
        <v>17.53703324</v>
      </c>
      <c r="E48">
        <v>22.124679065240016</v>
      </c>
      <c r="F48">
        <v>3.9142190565950195</v>
      </c>
      <c r="G48">
        <v>3.9142190565950197E-2</v>
      </c>
      <c r="H48">
        <v>0.8988243910211684</v>
      </c>
      <c r="I48">
        <v>0.79264576847816759</v>
      </c>
      <c r="J48">
        <v>1.8008829337911294E-6</v>
      </c>
    </row>
    <row r="49" spans="1:10" x14ac:dyDescent="0.25">
      <c r="A49">
        <v>80</v>
      </c>
      <c r="B49">
        <v>25</v>
      </c>
      <c r="C49">
        <v>2.8496809480401</v>
      </c>
      <c r="D49">
        <v>33.144653339999998</v>
      </c>
      <c r="E49">
        <v>41.24221730349155</v>
      </c>
      <c r="F49">
        <v>7.5005793921789703</v>
      </c>
      <c r="G49">
        <v>7.5005793921789701E-2</v>
      </c>
      <c r="H49">
        <v>0.88910197477391817</v>
      </c>
      <c r="I49">
        <v>0.80365837501161663</v>
      </c>
      <c r="J49">
        <v>3.4509221956194941E-6</v>
      </c>
    </row>
    <row r="50" spans="1:10" x14ac:dyDescent="0.25">
      <c r="A50">
        <v>80</v>
      </c>
      <c r="B50">
        <v>25</v>
      </c>
      <c r="C50">
        <v>3.0288058340929802</v>
      </c>
      <c r="D50">
        <v>64.105503229999997</v>
      </c>
      <c r="E50">
        <v>79.940320319601213</v>
      </c>
      <c r="F50">
        <v>14.475534199588999</v>
      </c>
      <c r="G50">
        <v>0.14475534199588999</v>
      </c>
      <c r="H50">
        <v>0.84755987715537517</v>
      </c>
      <c r="I50">
        <v>0.8019170172662099</v>
      </c>
      <c r="J50">
        <v>6.6600111339263858E-6</v>
      </c>
    </row>
    <row r="51" spans="1:10" x14ac:dyDescent="0.25">
      <c r="A51">
        <v>80</v>
      </c>
      <c r="B51">
        <v>25</v>
      </c>
      <c r="C51">
        <v>3.1901549680948</v>
      </c>
      <c r="D51">
        <v>87.036084110000004</v>
      </c>
      <c r="E51">
        <v>108.71568007822606</v>
      </c>
      <c r="F51">
        <v>19.620783956244299</v>
      </c>
      <c r="G51">
        <v>0.196207839562443</v>
      </c>
      <c r="H51">
        <v>0.76461075742168561</v>
      </c>
      <c r="I51">
        <v>0.80058446074543654</v>
      </c>
      <c r="J51">
        <v>9.0272758022748106E-6</v>
      </c>
    </row>
    <row r="52" spans="1:10" x14ac:dyDescent="0.25">
      <c r="A52">
        <v>80</v>
      </c>
      <c r="B52">
        <v>25</v>
      </c>
      <c r="C52">
        <v>3.377484047402</v>
      </c>
      <c r="D52">
        <v>98.63576741</v>
      </c>
      <c r="E52">
        <v>124.22560818035655</v>
      </c>
      <c r="F52">
        <v>22.052995071303798</v>
      </c>
      <c r="G52">
        <v>0.22052995071303799</v>
      </c>
      <c r="H52">
        <v>0.7038063000826138</v>
      </c>
      <c r="I52">
        <v>0.7940051077616459</v>
      </c>
      <c r="J52">
        <v>1.014630553085061E-5</v>
      </c>
    </row>
    <row r="53" spans="1:10" x14ac:dyDescent="0.25">
      <c r="A53">
        <v>80</v>
      </c>
      <c r="B53">
        <v>25</v>
      </c>
      <c r="C53">
        <v>3.6099361896080202</v>
      </c>
      <c r="D53">
        <v>77.656729900000002</v>
      </c>
      <c r="E53">
        <v>96.660245564233534</v>
      </c>
      <c r="F53">
        <v>17.567912488605199</v>
      </c>
      <c r="G53">
        <v>0.175679124886052</v>
      </c>
      <c r="H53">
        <v>0.5105044102870262</v>
      </c>
      <c r="I53">
        <v>0.80339884765133207</v>
      </c>
      <c r="J53">
        <v>8.0827754720980905E-6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C462-CECB-479C-8BEB-C6FB75A3C13C}">
  <dimension ref="A1:D53"/>
  <sheetViews>
    <sheetView workbookViewId="0">
      <selection activeCell="F44" sqref="F44"/>
    </sheetView>
  </sheetViews>
  <sheetFormatPr defaultRowHeight="15" x14ac:dyDescent="0.25"/>
  <sheetData>
    <row r="1" spans="1:4" x14ac:dyDescent="0.25">
      <c r="A1" t="s">
        <v>33</v>
      </c>
      <c r="B1" t="s">
        <v>34</v>
      </c>
      <c r="C1" t="s">
        <v>35</v>
      </c>
      <c r="D1" t="s">
        <v>9</v>
      </c>
    </row>
    <row r="2" spans="1:4" x14ac:dyDescent="0.25">
      <c r="A2">
        <v>160</v>
      </c>
      <c r="B2">
        <v>25</v>
      </c>
      <c r="C2">
        <v>2.3807775377969702</v>
      </c>
      <c r="D2">
        <v>3.4167173102507297E-3</v>
      </c>
    </row>
    <row r="3" spans="1:4" x14ac:dyDescent="0.25">
      <c r="A3">
        <v>160</v>
      </c>
      <c r="B3">
        <v>25</v>
      </c>
      <c r="C3">
        <v>2.6684665226781799</v>
      </c>
      <c r="D3">
        <v>3.1674851764860297E-2</v>
      </c>
    </row>
    <row r="4" spans="1:4" x14ac:dyDescent="0.25">
      <c r="A4">
        <v>160</v>
      </c>
      <c r="B4">
        <v>25</v>
      </c>
      <c r="C4">
        <v>2.9503239740820701</v>
      </c>
      <c r="D4">
        <v>6.3338863065223294E-2</v>
      </c>
    </row>
    <row r="5" spans="1:4" x14ac:dyDescent="0.25">
      <c r="A5">
        <v>160</v>
      </c>
      <c r="B5">
        <v>25</v>
      </c>
      <c r="C5">
        <v>3.1699784017278598</v>
      </c>
      <c r="D5">
        <v>0.16254882315260399</v>
      </c>
    </row>
    <row r="6" spans="1:4" x14ac:dyDescent="0.25">
      <c r="A6">
        <v>160</v>
      </c>
      <c r="B6">
        <v>25</v>
      </c>
      <c r="C6">
        <v>3.4187904967602498</v>
      </c>
      <c r="D6">
        <v>0.163359886996369</v>
      </c>
    </row>
    <row r="7" spans="1:4" x14ac:dyDescent="0.25">
      <c r="A7">
        <v>160</v>
      </c>
      <c r="B7">
        <v>25</v>
      </c>
      <c r="C7">
        <v>3.64816414686825</v>
      </c>
      <c r="D7">
        <v>0.158198840398797</v>
      </c>
    </row>
    <row r="8" spans="1:4" x14ac:dyDescent="0.25">
      <c r="A8">
        <v>160</v>
      </c>
      <c r="B8">
        <v>25</v>
      </c>
      <c r="C8">
        <v>3.8386609071274198</v>
      </c>
      <c r="D8">
        <v>0.20782747236502699</v>
      </c>
    </row>
    <row r="9" spans="1:4" x14ac:dyDescent="0.25">
      <c r="A9">
        <v>120</v>
      </c>
      <c r="B9">
        <v>25</v>
      </c>
      <c r="C9">
        <v>2.38660907127429</v>
      </c>
      <c r="D9">
        <v>6.8620140269039995E-3</v>
      </c>
    </row>
    <row r="10" spans="1:4" x14ac:dyDescent="0.25">
      <c r="A10">
        <v>120</v>
      </c>
      <c r="B10">
        <v>25</v>
      </c>
      <c r="C10">
        <v>2.6820734341252699</v>
      </c>
      <c r="D10">
        <v>1.1139070019545701E-2</v>
      </c>
    </row>
    <row r="11" spans="1:4" x14ac:dyDescent="0.25">
      <c r="A11">
        <v>120</v>
      </c>
      <c r="B11">
        <v>25</v>
      </c>
      <c r="C11">
        <v>2.9619870410367102</v>
      </c>
      <c r="D11">
        <v>2.9983739303253699E-2</v>
      </c>
    </row>
    <row r="12" spans="1:4" x14ac:dyDescent="0.25">
      <c r="A12">
        <v>120</v>
      </c>
      <c r="B12">
        <v>25</v>
      </c>
      <c r="C12">
        <v>3.2146868250539899</v>
      </c>
      <c r="D12">
        <v>0.10622866810111101</v>
      </c>
    </row>
    <row r="13" spans="1:4" x14ac:dyDescent="0.25">
      <c r="A13">
        <v>120</v>
      </c>
      <c r="B13">
        <v>25</v>
      </c>
      <c r="C13">
        <v>3.4596112311015101</v>
      </c>
      <c r="D13">
        <v>0.21665062496920298</v>
      </c>
    </row>
    <row r="14" spans="1:4" x14ac:dyDescent="0.25">
      <c r="A14">
        <v>120</v>
      </c>
      <c r="B14">
        <v>25</v>
      </c>
      <c r="C14">
        <v>3.7084233261339001</v>
      </c>
      <c r="D14">
        <v>0.23012827882988598</v>
      </c>
    </row>
    <row r="15" spans="1:4" x14ac:dyDescent="0.25">
      <c r="A15">
        <v>80</v>
      </c>
      <c r="B15">
        <v>25</v>
      </c>
      <c r="C15">
        <v>2.47213822894168</v>
      </c>
      <c r="D15">
        <v>6.8590575365865903E-3</v>
      </c>
    </row>
    <row r="16" spans="1:4" x14ac:dyDescent="0.25">
      <c r="A16">
        <v>80</v>
      </c>
      <c r="B16">
        <v>25</v>
      </c>
      <c r="C16">
        <v>2.5498920086393002</v>
      </c>
      <c r="D16">
        <v>1.6288290655847901E-2</v>
      </c>
    </row>
    <row r="17" spans="1:4" x14ac:dyDescent="0.25">
      <c r="A17">
        <v>80</v>
      </c>
      <c r="B17">
        <v>25</v>
      </c>
      <c r="C17">
        <v>2.70539956803455</v>
      </c>
      <c r="D17">
        <v>4.0292035543583501E-2</v>
      </c>
    </row>
    <row r="18" spans="1:4" x14ac:dyDescent="0.25">
      <c r="A18">
        <v>80</v>
      </c>
      <c r="B18">
        <v>25</v>
      </c>
      <c r="C18">
        <v>2.8570194384449201</v>
      </c>
      <c r="D18">
        <v>7.4573526271701399E-2</v>
      </c>
    </row>
    <row r="19" spans="1:4" x14ac:dyDescent="0.25">
      <c r="A19">
        <v>80</v>
      </c>
      <c r="B19">
        <v>25</v>
      </c>
      <c r="C19">
        <v>3.0319654427645699</v>
      </c>
      <c r="D19">
        <v>0.14399388992001</v>
      </c>
    </row>
    <row r="20" spans="1:4" x14ac:dyDescent="0.25">
      <c r="A20">
        <v>80</v>
      </c>
      <c r="B20">
        <v>25</v>
      </c>
      <c r="C20">
        <v>3.1952483801295801</v>
      </c>
      <c r="D20">
        <v>0.19281244353924698</v>
      </c>
    </row>
    <row r="21" spans="1:4" x14ac:dyDescent="0.25">
      <c r="A21">
        <v>80</v>
      </c>
      <c r="B21">
        <v>25</v>
      </c>
      <c r="C21">
        <v>3.3838012958963199</v>
      </c>
      <c r="D21">
        <v>0.174710838822002</v>
      </c>
    </row>
    <row r="22" spans="1:4" x14ac:dyDescent="0.25">
      <c r="A22">
        <v>80</v>
      </c>
      <c r="B22">
        <v>25</v>
      </c>
      <c r="C22">
        <v>3.6112311015118701</v>
      </c>
      <c r="D22">
        <v>0.216731435704547</v>
      </c>
    </row>
    <row r="23" spans="1:4" x14ac:dyDescent="0.25">
      <c r="A23">
        <v>30</v>
      </c>
      <c r="B23">
        <v>25</v>
      </c>
      <c r="C23">
        <v>2.2796976241900602</v>
      </c>
      <c r="D23">
        <v>8.5767784110507197E-3</v>
      </c>
    </row>
    <row r="24" spans="1:4" x14ac:dyDescent="0.25">
      <c r="A24">
        <v>30</v>
      </c>
      <c r="B24">
        <v>25</v>
      </c>
      <c r="C24">
        <v>2.4468682505399499</v>
      </c>
      <c r="D24">
        <v>3.0886454346861898E-2</v>
      </c>
    </row>
    <row r="25" spans="1:4" x14ac:dyDescent="0.25">
      <c r="A25">
        <v>30</v>
      </c>
      <c r="B25">
        <v>25</v>
      </c>
      <c r="C25">
        <v>2.5596112311015098</v>
      </c>
      <c r="D25">
        <v>5.6624673554194004E-2</v>
      </c>
    </row>
    <row r="26" spans="1:4" x14ac:dyDescent="0.25">
      <c r="A26">
        <v>30</v>
      </c>
      <c r="B26">
        <v>25</v>
      </c>
      <c r="C26">
        <v>2.70539956803455</v>
      </c>
      <c r="D26">
        <v>0.120105448154657</v>
      </c>
    </row>
    <row r="27" spans="1:4" x14ac:dyDescent="0.25">
      <c r="A27">
        <v>30</v>
      </c>
      <c r="B27">
        <v>25</v>
      </c>
      <c r="C27">
        <v>2.8570194384449201</v>
      </c>
      <c r="D27">
        <v>0.223051426506578</v>
      </c>
    </row>
    <row r="28" spans="1:4" x14ac:dyDescent="0.25">
      <c r="A28">
        <v>30</v>
      </c>
      <c r="B28">
        <v>25</v>
      </c>
      <c r="C28">
        <v>3.0902807775377901</v>
      </c>
      <c r="D28">
        <v>0.36541727575842103</v>
      </c>
    </row>
    <row r="29" spans="1:4" x14ac:dyDescent="0.25">
      <c r="A29">
        <v>30</v>
      </c>
      <c r="B29">
        <v>25</v>
      </c>
      <c r="C29">
        <v>3.2166306695464302</v>
      </c>
      <c r="D29">
        <v>0.38684493208284698</v>
      </c>
    </row>
    <row r="30" spans="1:4" x14ac:dyDescent="0.25">
      <c r="A30">
        <v>30</v>
      </c>
      <c r="B30">
        <v>25</v>
      </c>
      <c r="C30">
        <v>3.4751619870410302</v>
      </c>
      <c r="D30">
        <v>0.27771791797381801</v>
      </c>
    </row>
    <row r="31" spans="1:4" x14ac:dyDescent="0.25">
      <c r="A31">
        <v>15</v>
      </c>
      <c r="B31">
        <v>25</v>
      </c>
      <c r="C31">
        <v>2.39049676025917</v>
      </c>
      <c r="D31">
        <v>2.5735262717014602E-2</v>
      </c>
    </row>
    <row r="32" spans="1:4" x14ac:dyDescent="0.25">
      <c r="A32">
        <v>15</v>
      </c>
      <c r="B32">
        <v>25</v>
      </c>
      <c r="C32">
        <v>2.6820734341252699</v>
      </c>
      <c r="D32">
        <v>0.17247080465811401</v>
      </c>
    </row>
    <row r="33" spans="1:4" x14ac:dyDescent="0.25">
      <c r="A33">
        <v>15</v>
      </c>
      <c r="B33">
        <v>25</v>
      </c>
      <c r="C33">
        <v>2.8336933045356298</v>
      </c>
      <c r="D33">
        <v>0.33981308411214894</v>
      </c>
    </row>
    <row r="34" spans="1:4" x14ac:dyDescent="0.25">
      <c r="A34">
        <v>15</v>
      </c>
      <c r="B34">
        <v>25</v>
      </c>
      <c r="C34">
        <v>2.97170626349891</v>
      </c>
      <c r="D34">
        <v>0.43075866826536102</v>
      </c>
    </row>
    <row r="35" spans="1:4" x14ac:dyDescent="0.25">
      <c r="A35">
        <v>15</v>
      </c>
      <c r="B35">
        <v>25</v>
      </c>
      <c r="C35">
        <v>3.15053995680345</v>
      </c>
      <c r="D35">
        <v>0.42379022058702703</v>
      </c>
    </row>
    <row r="36" spans="1:4" x14ac:dyDescent="0.25">
      <c r="A36">
        <v>80</v>
      </c>
      <c r="B36">
        <v>60</v>
      </c>
      <c r="C36">
        <v>2.3765724703737399</v>
      </c>
      <c r="D36">
        <v>1.8270475719604901E-2</v>
      </c>
    </row>
    <row r="37" spans="1:4" x14ac:dyDescent="0.25">
      <c r="A37">
        <v>80</v>
      </c>
      <c r="B37">
        <v>60</v>
      </c>
      <c r="C37">
        <v>2.6486782133090201</v>
      </c>
      <c r="D37">
        <v>0.113740710412063</v>
      </c>
    </row>
    <row r="38" spans="1:4" x14ac:dyDescent="0.25">
      <c r="A38">
        <v>80</v>
      </c>
      <c r="B38">
        <v>60</v>
      </c>
      <c r="C38">
        <v>2.87155879671832</v>
      </c>
      <c r="D38">
        <v>0.30957217681504201</v>
      </c>
    </row>
    <row r="39" spans="1:4" x14ac:dyDescent="0.25">
      <c r="A39">
        <v>80</v>
      </c>
      <c r="B39">
        <v>60</v>
      </c>
      <c r="C39">
        <v>3.0821330902461201</v>
      </c>
      <c r="D39">
        <v>0.400324459620227</v>
      </c>
    </row>
    <row r="40" spans="1:4" x14ac:dyDescent="0.25">
      <c r="A40">
        <v>80</v>
      </c>
      <c r="B40">
        <v>60</v>
      </c>
      <c r="C40">
        <v>3.26262534184138</v>
      </c>
      <c r="D40">
        <v>0.37312423713363002</v>
      </c>
    </row>
    <row r="41" spans="1:4" x14ac:dyDescent="0.25">
      <c r="A41">
        <v>80</v>
      </c>
      <c r="B41">
        <v>45</v>
      </c>
      <c r="C41">
        <v>2.3779398359999999</v>
      </c>
      <c r="D41">
        <v>1.2846129E-2</v>
      </c>
    </row>
    <row r="42" spans="1:4" x14ac:dyDescent="0.25">
      <c r="A42">
        <v>80</v>
      </c>
      <c r="B42">
        <v>45</v>
      </c>
      <c r="C42">
        <v>2.658249772</v>
      </c>
      <c r="D42">
        <v>9.6109265999999999E-2</v>
      </c>
    </row>
    <row r="43" spans="1:4" x14ac:dyDescent="0.25">
      <c r="A43">
        <v>80</v>
      </c>
      <c r="B43">
        <v>45</v>
      </c>
      <c r="C43">
        <v>2.8879671830000002</v>
      </c>
      <c r="D43">
        <v>0.26685289600000001</v>
      </c>
    </row>
    <row r="44" spans="1:4" x14ac:dyDescent="0.25">
      <c r="A44">
        <v>80</v>
      </c>
      <c r="B44">
        <v>45</v>
      </c>
      <c r="C44">
        <v>3.1669097540000002</v>
      </c>
      <c r="D44">
        <v>0.302659024</v>
      </c>
    </row>
    <row r="45" spans="1:4" x14ac:dyDescent="0.25">
      <c r="A45">
        <v>80</v>
      </c>
      <c r="B45">
        <v>45</v>
      </c>
      <c r="C45">
        <v>3.3583409299999998</v>
      </c>
      <c r="D45">
        <v>0.305962332</v>
      </c>
    </row>
    <row r="46" spans="1:4" x14ac:dyDescent="0.25">
      <c r="A46">
        <v>80</v>
      </c>
      <c r="B46">
        <v>25</v>
      </c>
      <c r="C46">
        <v>2.46681859617137</v>
      </c>
      <c r="D46">
        <v>9.4161271881711903E-3</v>
      </c>
    </row>
    <row r="47" spans="1:4" x14ac:dyDescent="0.25">
      <c r="A47">
        <v>80</v>
      </c>
      <c r="B47">
        <v>25</v>
      </c>
      <c r="C47">
        <v>2.5488605287146702</v>
      </c>
      <c r="D47">
        <v>1.8870571512445301E-2</v>
      </c>
    </row>
    <row r="48" spans="1:4" x14ac:dyDescent="0.25">
      <c r="A48">
        <v>80</v>
      </c>
      <c r="B48">
        <v>25</v>
      </c>
      <c r="C48">
        <v>2.6979033728349999</v>
      </c>
      <c r="D48">
        <v>3.9142190565950197E-2</v>
      </c>
    </row>
    <row r="49" spans="1:4" x14ac:dyDescent="0.25">
      <c r="A49">
        <v>80</v>
      </c>
      <c r="B49">
        <v>25</v>
      </c>
      <c r="C49">
        <v>2.8496809480401</v>
      </c>
      <c r="D49">
        <v>7.5005793921789701E-2</v>
      </c>
    </row>
    <row r="50" spans="1:4" x14ac:dyDescent="0.25">
      <c r="A50">
        <v>80</v>
      </c>
      <c r="B50">
        <v>25</v>
      </c>
      <c r="C50">
        <v>3.0288058340929802</v>
      </c>
      <c r="D50">
        <v>0.14475534199588999</v>
      </c>
    </row>
    <row r="51" spans="1:4" x14ac:dyDescent="0.25">
      <c r="A51">
        <v>80</v>
      </c>
      <c r="B51">
        <v>25</v>
      </c>
      <c r="C51">
        <v>3.1901549680948</v>
      </c>
      <c r="D51">
        <v>0.196207839562443</v>
      </c>
    </row>
    <row r="52" spans="1:4" x14ac:dyDescent="0.25">
      <c r="A52">
        <v>80</v>
      </c>
      <c r="B52">
        <v>25</v>
      </c>
      <c r="C52">
        <v>3.377484047402</v>
      </c>
      <c r="D52">
        <v>0.22052995071303799</v>
      </c>
    </row>
    <row r="53" spans="1:4" x14ac:dyDescent="0.25">
      <c r="A53">
        <v>80</v>
      </c>
      <c r="B53">
        <v>25</v>
      </c>
      <c r="C53">
        <v>3.6099361896080202</v>
      </c>
      <c r="D53">
        <v>0.175679124886052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1D6D-5881-43D1-B61F-44AA25329F48}">
  <dimension ref="B1:N11"/>
  <sheetViews>
    <sheetView workbookViewId="0">
      <selection activeCell="D12" sqref="D12"/>
    </sheetView>
  </sheetViews>
  <sheetFormatPr defaultRowHeight="15" x14ac:dyDescent="0.25"/>
  <cols>
    <col min="7" max="7" width="15.140625" customWidth="1"/>
    <col min="8" max="8" width="9.42578125" bestFit="1" customWidth="1"/>
    <col min="13" max="13" width="15.42578125" bestFit="1" customWidth="1"/>
  </cols>
  <sheetData>
    <row r="1" spans="2:14" x14ac:dyDescent="0.25">
      <c r="C1" t="s">
        <v>10</v>
      </c>
      <c r="D1" t="s">
        <v>11</v>
      </c>
      <c r="J1" t="s">
        <v>12</v>
      </c>
      <c r="M1" t="s">
        <v>13</v>
      </c>
      <c r="N1">
        <v>0.93400000000000005</v>
      </c>
    </row>
    <row r="2" spans="2:14" x14ac:dyDescent="0.25">
      <c r="B2" t="s">
        <v>14</v>
      </c>
      <c r="C2">
        <v>8926.7000000000007</v>
      </c>
      <c r="D2">
        <f>C2/C7</f>
        <v>0.12800173217529962</v>
      </c>
      <c r="E2">
        <v>0.2</v>
      </c>
      <c r="G2" t="s">
        <v>15</v>
      </c>
      <c r="H2" s="1">
        <v>1153526</v>
      </c>
      <c r="I2" t="s">
        <v>16</v>
      </c>
      <c r="J2" t="s">
        <v>14</v>
      </c>
      <c r="K2">
        <f>H6</f>
        <v>3120.3027450471218</v>
      </c>
      <c r="L2" t="s">
        <v>10</v>
      </c>
      <c r="M2" t="s">
        <v>17</v>
      </c>
      <c r="N2">
        <v>0.96499999999999997</v>
      </c>
    </row>
    <row r="3" spans="2:14" x14ac:dyDescent="0.25">
      <c r="B3" t="s">
        <v>18</v>
      </c>
      <c r="C3">
        <v>47636.3</v>
      </c>
      <c r="D3">
        <f>C3/C7</f>
        <v>0.68306640913464378</v>
      </c>
      <c r="E3">
        <f>1-E4-E5-E6-E2</f>
        <v>0.57999999999999985</v>
      </c>
      <c r="G3" t="s">
        <v>19</v>
      </c>
      <c r="H3">
        <v>8400</v>
      </c>
      <c r="I3" t="s">
        <v>20</v>
      </c>
      <c r="J3" t="s">
        <v>18</v>
      </c>
      <c r="K3">
        <f>K2/E2*E3</f>
        <v>9048.8779606366516</v>
      </c>
      <c r="L3" t="s">
        <v>10</v>
      </c>
      <c r="N3">
        <f>N2*N1</f>
        <v>0.90131000000000006</v>
      </c>
    </row>
    <row r="4" spans="2:14" x14ac:dyDescent="0.25">
      <c r="B4" t="s">
        <v>21</v>
      </c>
      <c r="C4">
        <v>11126.6</v>
      </c>
      <c r="D4">
        <f>C4/C7</f>
        <v>0.15954653715501679</v>
      </c>
      <c r="E4">
        <v>0.16500000000000001</v>
      </c>
      <c r="G4" t="s">
        <v>22</v>
      </c>
      <c r="H4">
        <f>H2*1000/H3</f>
        <v>137324.52380952382</v>
      </c>
      <c r="I4" t="s">
        <v>23</v>
      </c>
      <c r="J4" t="s">
        <v>21</v>
      </c>
      <c r="K4">
        <f>K2/E2*E4</f>
        <v>2574.2497646638758</v>
      </c>
      <c r="L4" t="s">
        <v>10</v>
      </c>
      <c r="M4" t="s">
        <v>24</v>
      </c>
      <c r="N4">
        <f>N2*N1*K2</f>
        <v>2812.3600671384215</v>
      </c>
    </row>
    <row r="5" spans="2:14" x14ac:dyDescent="0.25">
      <c r="B5" t="s">
        <v>25</v>
      </c>
      <c r="C5">
        <v>2049.3000000000002</v>
      </c>
      <c r="D5">
        <f>C5/C7</f>
        <v>2.938532153503999E-2</v>
      </c>
      <c r="E5">
        <v>0.05</v>
      </c>
      <c r="G5" t="s">
        <v>14</v>
      </c>
      <c r="H5">
        <v>44.01</v>
      </c>
      <c r="I5" t="s">
        <v>26</v>
      </c>
      <c r="J5" t="s">
        <v>25</v>
      </c>
      <c r="K5">
        <f>K2/E2*E5</f>
        <v>780.07568626178045</v>
      </c>
      <c r="L5" t="s">
        <v>10</v>
      </c>
    </row>
    <row r="6" spans="2:14" x14ac:dyDescent="0.25">
      <c r="B6" t="s">
        <v>27</v>
      </c>
      <c r="E6">
        <v>5.0000000000000001E-3</v>
      </c>
      <c r="G6" t="s">
        <v>28</v>
      </c>
      <c r="H6">
        <f>H4/H5</f>
        <v>3120.3027450471218</v>
      </c>
      <c r="I6" t="s">
        <v>10</v>
      </c>
      <c r="J6" t="s">
        <v>27</v>
      </c>
      <c r="K6">
        <f>K2/E2*E6</f>
        <v>78.007568626178042</v>
      </c>
      <c r="L6" t="s">
        <v>10</v>
      </c>
    </row>
    <row r="7" spans="2:14" x14ac:dyDescent="0.25">
      <c r="B7" t="s">
        <v>29</v>
      </c>
      <c r="C7">
        <v>69738.899999999994</v>
      </c>
      <c r="D7">
        <f>C7/C7</f>
        <v>1</v>
      </c>
    </row>
    <row r="10" spans="2:14" x14ac:dyDescent="0.25">
      <c r="B10" t="s">
        <v>29</v>
      </c>
      <c r="C10">
        <v>57.8</v>
      </c>
      <c r="D10" t="s">
        <v>30</v>
      </c>
    </row>
    <row r="11" spans="2:14" x14ac:dyDescent="0.25">
      <c r="B11" t="s">
        <v>31</v>
      </c>
      <c r="C11">
        <v>1</v>
      </c>
      <c r="D1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32DC-D42A-4938-BA45-3BE3543F9A93}">
  <dimension ref="A1:D42"/>
  <sheetViews>
    <sheetView workbookViewId="0">
      <selection activeCell="D7" sqref="D7"/>
    </sheetView>
  </sheetViews>
  <sheetFormatPr defaultRowHeight="15" x14ac:dyDescent="0.25"/>
  <cols>
    <col min="1" max="1" width="12.85546875" style="2" customWidth="1"/>
    <col min="2" max="2" width="10.85546875" style="2" customWidth="1"/>
    <col min="3" max="4" width="9.42578125" style="2" customWidth="1"/>
    <col min="5" max="16384" width="9.140625" style="2"/>
  </cols>
  <sheetData>
    <row r="1" spans="1:4" x14ac:dyDescent="0.25">
      <c r="A1" s="2" t="s">
        <v>36</v>
      </c>
      <c r="B1" s="2" t="s">
        <v>37</v>
      </c>
      <c r="C1" s="2" t="s">
        <v>38</v>
      </c>
      <c r="D1" s="2" t="s">
        <v>39</v>
      </c>
    </row>
    <row r="2" spans="1:4" x14ac:dyDescent="0.25">
      <c r="A2" s="2">
        <v>160</v>
      </c>
      <c r="B2" s="2">
        <v>25</v>
      </c>
      <c r="C2" s="2">
        <v>2.38493150684931</v>
      </c>
      <c r="D2" s="2">
        <v>0.64947850813847896</v>
      </c>
    </row>
    <row r="3" spans="1:4" x14ac:dyDescent="0.25">
      <c r="A3" s="2">
        <v>160</v>
      </c>
      <c r="B3" s="2">
        <v>25</v>
      </c>
      <c r="C3" s="2">
        <v>2.6684931506849301</v>
      </c>
      <c r="D3" s="2">
        <v>3.1471088477870097</v>
      </c>
    </row>
    <row r="4" spans="1:4" x14ac:dyDescent="0.25">
      <c r="A4" s="2">
        <v>160</v>
      </c>
      <c r="B4" s="2">
        <v>25</v>
      </c>
      <c r="C4" s="2">
        <v>2.95821917808219</v>
      </c>
      <c r="D4" s="2">
        <v>6.3945680221623595</v>
      </c>
    </row>
    <row r="5" spans="1:4" x14ac:dyDescent="0.25">
      <c r="A5" s="2">
        <v>160</v>
      </c>
      <c r="B5" s="2">
        <v>25</v>
      </c>
      <c r="C5" s="2">
        <v>3.1678082191780801</v>
      </c>
      <c r="D5" s="2">
        <v>16.54031254529</v>
      </c>
    </row>
    <row r="6" spans="1:4" x14ac:dyDescent="0.25">
      <c r="A6" s="2">
        <v>120</v>
      </c>
      <c r="B6" s="2">
        <v>25</v>
      </c>
      <c r="C6" s="2">
        <v>2.3910958904109498</v>
      </c>
      <c r="D6" s="2">
        <v>0.79850474015363204</v>
      </c>
    </row>
    <row r="7" spans="1:4" x14ac:dyDescent="0.25">
      <c r="A7" s="2">
        <v>120</v>
      </c>
      <c r="B7" s="2">
        <v>25</v>
      </c>
      <c r="C7" s="2">
        <v>2.6808219178082102</v>
      </c>
      <c r="D7" s="2">
        <v>3.2952688419232401</v>
      </c>
    </row>
    <row r="8" spans="1:4" x14ac:dyDescent="0.25">
      <c r="A8" s="2">
        <v>120</v>
      </c>
      <c r="B8" s="2">
        <v>25</v>
      </c>
      <c r="C8" s="2">
        <v>2.95821917808219</v>
      </c>
      <c r="D8" s="2">
        <v>10.735385983937899</v>
      </c>
    </row>
    <row r="9" spans="1:4" x14ac:dyDescent="0.25">
      <c r="A9" s="2">
        <v>120</v>
      </c>
      <c r="B9" s="2">
        <v>25</v>
      </c>
      <c r="C9" s="2">
        <v>3.2084931506849301</v>
      </c>
      <c r="D9" s="2">
        <v>21.775521117046999</v>
      </c>
    </row>
    <row r="10" spans="1:4" x14ac:dyDescent="0.25">
      <c r="A10" s="2">
        <v>80</v>
      </c>
      <c r="B10" s="2">
        <v>25</v>
      </c>
      <c r="C10" s="2">
        <v>2.46876712328767</v>
      </c>
      <c r="D10" s="2">
        <v>0.94839721004769395</v>
      </c>
    </row>
    <row r="11" spans="1:4" x14ac:dyDescent="0.25">
      <c r="A11" s="2">
        <v>80</v>
      </c>
      <c r="B11" s="2">
        <v>25</v>
      </c>
      <c r="C11" s="2">
        <v>2.5501369863013599</v>
      </c>
      <c r="D11" s="2">
        <v>1.79717706401998</v>
      </c>
    </row>
    <row r="12" spans="1:4" x14ac:dyDescent="0.25">
      <c r="A12" s="2">
        <v>80</v>
      </c>
      <c r="B12" s="2">
        <v>25</v>
      </c>
      <c r="C12" s="2">
        <v>2.69808219178082</v>
      </c>
      <c r="D12" s="2">
        <v>4.09314056208843</v>
      </c>
    </row>
    <row r="13" spans="1:4" x14ac:dyDescent="0.25">
      <c r="A13" s="2">
        <v>80</v>
      </c>
      <c r="B13" s="2">
        <v>25</v>
      </c>
      <c r="C13" s="2">
        <v>2.8521917808219102</v>
      </c>
      <c r="D13" s="2">
        <v>7.73697019975112</v>
      </c>
    </row>
    <row r="14" spans="1:4" x14ac:dyDescent="0.25">
      <c r="A14" s="2">
        <v>80</v>
      </c>
      <c r="B14" s="2">
        <v>25</v>
      </c>
      <c r="C14" s="2">
        <v>3.0321917808219099</v>
      </c>
      <c r="D14" s="2">
        <v>14.626093417091802</v>
      </c>
    </row>
    <row r="15" spans="1:4" x14ac:dyDescent="0.25">
      <c r="A15" s="2">
        <v>80</v>
      </c>
      <c r="B15" s="2">
        <v>25</v>
      </c>
      <c r="C15" s="2">
        <v>3.18753424657534</v>
      </c>
      <c r="D15" s="2">
        <v>19.619721571155601</v>
      </c>
    </row>
    <row r="16" spans="1:4" x14ac:dyDescent="0.25">
      <c r="A16" s="2">
        <v>30</v>
      </c>
      <c r="B16" s="2">
        <v>25</v>
      </c>
      <c r="C16" s="2">
        <v>2.28136986301369</v>
      </c>
      <c r="D16" s="2">
        <v>0.69858753250474503</v>
      </c>
    </row>
    <row r="17" spans="1:4" x14ac:dyDescent="0.25">
      <c r="A17" s="2">
        <v>30</v>
      </c>
      <c r="B17" s="2">
        <v>25</v>
      </c>
      <c r="C17" s="2">
        <v>2.4564383561643801</v>
      </c>
      <c r="D17" s="2">
        <v>3.2927367619694898</v>
      </c>
    </row>
    <row r="18" spans="1:4" x14ac:dyDescent="0.25">
      <c r="A18" s="2">
        <v>30</v>
      </c>
      <c r="B18" s="2">
        <v>25</v>
      </c>
      <c r="C18" s="2">
        <v>2.5587671232876699</v>
      </c>
      <c r="D18" s="2">
        <v>5.7375265910041202</v>
      </c>
    </row>
    <row r="19" spans="1:4" x14ac:dyDescent="0.25">
      <c r="A19" s="2">
        <v>30</v>
      </c>
      <c r="B19" s="2">
        <v>25</v>
      </c>
      <c r="C19" s="2">
        <v>2.7067123287671202</v>
      </c>
      <c r="D19" s="2">
        <v>11.8741556262983</v>
      </c>
    </row>
    <row r="20" spans="1:4" x14ac:dyDescent="0.25">
      <c r="A20" s="2">
        <v>30</v>
      </c>
      <c r="B20" s="2">
        <v>25</v>
      </c>
      <c r="C20" s="2">
        <v>2.8558904109588998</v>
      </c>
      <c r="D20" s="2">
        <v>22.301494093756901</v>
      </c>
    </row>
    <row r="21" spans="1:4" x14ac:dyDescent="0.25">
      <c r="A21" s="2">
        <v>30</v>
      </c>
      <c r="B21" s="2">
        <v>25</v>
      </c>
      <c r="C21" s="2">
        <v>3.08643835616438</v>
      </c>
      <c r="D21" s="2">
        <v>37.121791379933597</v>
      </c>
    </row>
    <row r="22" spans="1:4" x14ac:dyDescent="0.25">
      <c r="A22" s="2">
        <v>30</v>
      </c>
      <c r="B22" s="2">
        <v>25</v>
      </c>
      <c r="C22" s="2">
        <v>3.2171232876712299</v>
      </c>
      <c r="D22" s="2">
        <v>39.118736225568298</v>
      </c>
    </row>
    <row r="23" spans="1:4" x14ac:dyDescent="0.25">
      <c r="A23" s="2">
        <v>15</v>
      </c>
      <c r="B23" s="2">
        <v>25</v>
      </c>
      <c r="C23" s="2">
        <v>2.3910958904109498</v>
      </c>
      <c r="D23" s="2">
        <v>2.7442082835663002</v>
      </c>
    </row>
    <row r="24" spans="1:4" x14ac:dyDescent="0.25">
      <c r="A24" s="2">
        <v>15</v>
      </c>
      <c r="B24" s="2">
        <v>25</v>
      </c>
      <c r="C24" s="2">
        <v>2.6771232876712299</v>
      </c>
      <c r="D24" s="2">
        <v>17.509832632846699</v>
      </c>
    </row>
    <row r="25" spans="1:4" x14ac:dyDescent="0.25">
      <c r="A25" s="2">
        <v>15</v>
      </c>
      <c r="B25" s="2">
        <v>25</v>
      </c>
      <c r="C25" s="2">
        <v>2.8275342465753401</v>
      </c>
      <c r="D25" s="2">
        <v>33.970884412215902</v>
      </c>
    </row>
    <row r="26" spans="1:4" x14ac:dyDescent="0.25">
      <c r="A26" s="2">
        <v>15</v>
      </c>
      <c r="B26" s="2">
        <v>25</v>
      </c>
      <c r="C26" s="2">
        <v>2.9705479452054702</v>
      </c>
      <c r="D26" s="2">
        <v>43.250257789061003</v>
      </c>
    </row>
    <row r="27" spans="1:4" x14ac:dyDescent="0.25">
      <c r="A27" s="2">
        <v>15</v>
      </c>
      <c r="B27" s="2">
        <v>25</v>
      </c>
      <c r="C27" s="2">
        <v>3.14684931506849</v>
      </c>
      <c r="D27" s="2">
        <v>42.4082412539126</v>
      </c>
    </row>
    <row r="28" spans="1:4" x14ac:dyDescent="0.25">
      <c r="A28" s="2">
        <v>80</v>
      </c>
      <c r="B28" s="2">
        <v>25</v>
      </c>
      <c r="C28" s="2">
        <v>2.46702940944667</v>
      </c>
      <c r="D28" s="2">
        <v>0.87921580607950001</v>
      </c>
    </row>
    <row r="29" spans="1:4" x14ac:dyDescent="0.25">
      <c r="A29" s="2">
        <v>80</v>
      </c>
      <c r="B29" s="2">
        <v>25</v>
      </c>
      <c r="C29" s="2">
        <v>2.5500803288328902</v>
      </c>
      <c r="D29" s="2">
        <v>1.8068643304486103</v>
      </c>
    </row>
    <row r="30" spans="1:4" x14ac:dyDescent="0.25">
      <c r="A30" s="2">
        <v>80</v>
      </c>
      <c r="B30" s="2">
        <v>25</v>
      </c>
      <c r="C30" s="2">
        <v>2.6934445609801898</v>
      </c>
      <c r="D30" s="2">
        <v>3.8773827896613602</v>
      </c>
    </row>
    <row r="31" spans="1:4" x14ac:dyDescent="0.25">
      <c r="A31" s="2">
        <v>80</v>
      </c>
      <c r="B31" s="2">
        <v>25</v>
      </c>
      <c r="C31" s="2">
        <v>2.8496462500075701</v>
      </c>
      <c r="D31" s="2">
        <v>7.5736761987031898</v>
      </c>
    </row>
    <row r="32" spans="1:4" x14ac:dyDescent="0.25">
      <c r="A32" s="2">
        <v>80</v>
      </c>
      <c r="B32" s="2">
        <v>25</v>
      </c>
      <c r="C32" s="2">
        <v>3.0282945430956598</v>
      </c>
      <c r="D32" s="2">
        <v>14.686886031677401</v>
      </c>
    </row>
    <row r="33" spans="1:4" x14ac:dyDescent="0.25">
      <c r="A33" s="2">
        <v>80</v>
      </c>
      <c r="B33" s="2">
        <v>25</v>
      </c>
      <c r="C33" s="2">
        <v>3.1887309256912801</v>
      </c>
      <c r="D33" s="2">
        <v>19.522414946457999</v>
      </c>
    </row>
    <row r="34" spans="1:4" x14ac:dyDescent="0.25">
      <c r="A34" s="2">
        <v>80</v>
      </c>
      <c r="B34" s="2">
        <v>45</v>
      </c>
      <c r="C34" s="2">
        <v>2.3785282545302402</v>
      </c>
      <c r="D34" s="2">
        <v>1.2526138919468399</v>
      </c>
    </row>
    <row r="35" spans="1:4" x14ac:dyDescent="0.25">
      <c r="A35" s="2">
        <v>80</v>
      </c>
      <c r="B35" s="2">
        <v>45</v>
      </c>
      <c r="C35" s="2">
        <v>2.6574329936282499</v>
      </c>
      <c r="D35" s="2">
        <v>9.6197017661218496</v>
      </c>
    </row>
    <row r="36" spans="1:4" x14ac:dyDescent="0.25">
      <c r="A36" s="2">
        <v>80</v>
      </c>
      <c r="B36" s="2">
        <v>45</v>
      </c>
      <c r="C36" s="2">
        <v>2.8849666862689198</v>
      </c>
      <c r="D36" s="2">
        <v>26.709577510784698</v>
      </c>
    </row>
    <row r="37" spans="1:4" x14ac:dyDescent="0.25">
      <c r="A37" s="2">
        <v>80</v>
      </c>
      <c r="B37" s="2">
        <v>45</v>
      </c>
      <c r="C37" s="2">
        <v>3.1685183725681498</v>
      </c>
      <c r="D37" s="2">
        <v>30.361151639970302</v>
      </c>
    </row>
    <row r="38" spans="1:4" x14ac:dyDescent="0.25">
      <c r="A38" s="2">
        <v>80</v>
      </c>
      <c r="B38" s="2">
        <v>45</v>
      </c>
      <c r="C38" s="2">
        <v>3.3540961642224398</v>
      </c>
      <c r="D38" s="2">
        <v>30.808344438533304</v>
      </c>
    </row>
    <row r="39" spans="1:4" x14ac:dyDescent="0.25">
      <c r="A39" s="2">
        <v>80</v>
      </c>
      <c r="B39" s="2">
        <v>60</v>
      </c>
      <c r="C39" s="2">
        <v>2.3795679824428402</v>
      </c>
      <c r="D39" s="2">
        <v>1.68605906737388</v>
      </c>
    </row>
    <row r="40" spans="1:4" x14ac:dyDescent="0.25">
      <c r="A40" s="2">
        <v>80</v>
      </c>
      <c r="B40" s="2">
        <v>60</v>
      </c>
      <c r="C40" s="2">
        <v>2.6465022098007198</v>
      </c>
      <c r="D40" s="2">
        <v>11.461883266350901</v>
      </c>
    </row>
    <row r="41" spans="1:4" x14ac:dyDescent="0.25">
      <c r="A41" s="2">
        <v>80</v>
      </c>
      <c r="B41" s="2">
        <v>60</v>
      </c>
      <c r="C41" s="2">
        <v>2.8684795722262302</v>
      </c>
      <c r="D41" s="2">
        <v>30.989986884451405</v>
      </c>
    </row>
    <row r="42" spans="1:4" x14ac:dyDescent="0.25">
      <c r="A42" s="2">
        <v>80</v>
      </c>
      <c r="B42" s="2">
        <v>60</v>
      </c>
      <c r="C42" s="2">
        <v>3.07609777686165</v>
      </c>
      <c r="D42" s="2">
        <v>40.219382568435201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7290-59D5-41A3-AB02-4125813B3ACA}">
  <dimension ref="A1:D42"/>
  <sheetViews>
    <sheetView tabSelected="1" workbookViewId="0">
      <selection activeCell="N12" sqref="N12"/>
    </sheetView>
  </sheetViews>
  <sheetFormatPr defaultRowHeight="15" x14ac:dyDescent="0.25"/>
  <cols>
    <col min="1" max="1" width="10.42578125" style="2" customWidth="1"/>
    <col min="2" max="2" width="9.42578125" style="2" customWidth="1"/>
    <col min="3" max="4" width="12.85546875" style="2" customWidth="1"/>
    <col min="5" max="16384" width="9.140625" style="2"/>
  </cols>
  <sheetData>
    <row r="1" spans="1:4" x14ac:dyDescent="0.25">
      <c r="A1" s="2" t="s">
        <v>36</v>
      </c>
      <c r="B1" s="2" t="s">
        <v>37</v>
      </c>
      <c r="C1" s="2" t="s">
        <v>38</v>
      </c>
      <c r="D1" s="2" t="s">
        <v>40</v>
      </c>
    </row>
    <row r="2" spans="1:4" x14ac:dyDescent="0.25">
      <c r="A2" s="2">
        <v>160</v>
      </c>
      <c r="B2" s="2">
        <v>25</v>
      </c>
      <c r="C2" s="2">
        <v>2.38493150684931</v>
      </c>
      <c r="D2" s="2">
        <v>6.6132264529058098</v>
      </c>
    </row>
    <row r="3" spans="1:4" x14ac:dyDescent="0.25">
      <c r="A3" s="2">
        <v>160</v>
      </c>
      <c r="B3" s="2">
        <v>25</v>
      </c>
      <c r="C3" s="2">
        <v>2.6684931506849301</v>
      </c>
      <c r="D3" s="2">
        <v>29.859719438877701</v>
      </c>
    </row>
    <row r="4" spans="1:4" x14ac:dyDescent="0.25">
      <c r="A4" s="2">
        <v>160</v>
      </c>
      <c r="B4" s="2">
        <v>25</v>
      </c>
      <c r="C4" s="2">
        <v>2.95821917808219</v>
      </c>
      <c r="D4" s="2">
        <v>63.326653306613203</v>
      </c>
    </row>
    <row r="5" spans="1:4" x14ac:dyDescent="0.25">
      <c r="A5" s="2">
        <v>160</v>
      </c>
      <c r="B5" s="2">
        <v>25</v>
      </c>
      <c r="C5" s="2">
        <v>3.1678082191780801</v>
      </c>
      <c r="D5" s="2">
        <v>189.97995991983899</v>
      </c>
    </row>
    <row r="6" spans="1:4" x14ac:dyDescent="0.25">
      <c r="A6" s="2">
        <v>120</v>
      </c>
      <c r="B6" s="2">
        <v>25</v>
      </c>
      <c r="C6" s="2">
        <v>2.3910958904109498</v>
      </c>
      <c r="D6" s="2">
        <v>3.5060120240480899</v>
      </c>
    </row>
    <row r="7" spans="1:4" x14ac:dyDescent="0.25">
      <c r="A7" s="2">
        <v>120</v>
      </c>
      <c r="B7" s="2">
        <v>25</v>
      </c>
      <c r="C7" s="2">
        <v>2.6808219178082102</v>
      </c>
      <c r="D7" s="2">
        <v>21.042084168336601</v>
      </c>
    </row>
    <row r="8" spans="1:4" x14ac:dyDescent="0.25">
      <c r="A8" s="2">
        <v>120</v>
      </c>
      <c r="B8" s="2">
        <v>25</v>
      </c>
      <c r="C8" s="2">
        <v>2.95821917808219</v>
      </c>
      <c r="D8" s="2">
        <v>73.346693386773495</v>
      </c>
    </row>
    <row r="9" spans="1:4" x14ac:dyDescent="0.25">
      <c r="A9" s="2">
        <v>120</v>
      </c>
      <c r="B9" s="2">
        <v>25</v>
      </c>
      <c r="C9" s="2">
        <v>3.2084931506849301</v>
      </c>
      <c r="D9" s="2">
        <v>179.75951903807601</v>
      </c>
    </row>
    <row r="10" spans="1:4" x14ac:dyDescent="0.25">
      <c r="A10" s="2">
        <v>80</v>
      </c>
      <c r="B10" s="2">
        <v>25</v>
      </c>
      <c r="C10" s="2">
        <v>2.46876712328767</v>
      </c>
      <c r="D10" s="2">
        <v>7.6092184368737499</v>
      </c>
    </row>
    <row r="11" spans="1:4" x14ac:dyDescent="0.25">
      <c r="A11" s="2">
        <v>80</v>
      </c>
      <c r="B11" s="2">
        <v>25</v>
      </c>
      <c r="C11" s="2">
        <v>2.5501369863013599</v>
      </c>
      <c r="D11" s="2">
        <v>10.0200400801603</v>
      </c>
    </row>
    <row r="12" spans="1:4" x14ac:dyDescent="0.25">
      <c r="A12" s="2">
        <v>80</v>
      </c>
      <c r="B12" s="2">
        <v>25</v>
      </c>
      <c r="C12" s="2">
        <v>2.69808219178082</v>
      </c>
      <c r="D12" s="2">
        <v>20.240480961923801</v>
      </c>
    </row>
    <row r="13" spans="1:4" x14ac:dyDescent="0.25">
      <c r="A13" s="2">
        <v>80</v>
      </c>
      <c r="B13" s="2">
        <v>25</v>
      </c>
      <c r="C13" s="2">
        <v>2.8521917808219102</v>
      </c>
      <c r="D13" s="2">
        <v>37.875751503006001</v>
      </c>
    </row>
    <row r="14" spans="1:4" x14ac:dyDescent="0.25">
      <c r="A14" s="2">
        <v>80</v>
      </c>
      <c r="B14" s="2">
        <v>25</v>
      </c>
      <c r="C14" s="2">
        <v>3.0321917808219099</v>
      </c>
      <c r="D14" s="2">
        <v>75.951903807615196</v>
      </c>
    </row>
    <row r="15" spans="1:4" x14ac:dyDescent="0.25">
      <c r="A15" s="2">
        <v>80</v>
      </c>
      <c r="B15" s="2">
        <v>25</v>
      </c>
      <c r="C15" s="2">
        <v>3.18753424657534</v>
      </c>
      <c r="D15" s="2">
        <v>112.625250501002</v>
      </c>
    </row>
    <row r="16" spans="1:4" x14ac:dyDescent="0.25">
      <c r="A16" s="2">
        <v>30</v>
      </c>
      <c r="B16" s="2">
        <v>25</v>
      </c>
      <c r="C16" s="2">
        <v>2.28136986301369</v>
      </c>
      <c r="D16" s="2">
        <v>3.0040080160320599</v>
      </c>
    </row>
    <row r="17" spans="1:4" x14ac:dyDescent="0.25">
      <c r="A17" s="2">
        <v>30</v>
      </c>
      <c r="B17" s="2">
        <v>25</v>
      </c>
      <c r="C17" s="2">
        <v>2.4564383561643801</v>
      </c>
      <c r="D17" s="2">
        <v>7.8116232464929798</v>
      </c>
    </row>
    <row r="18" spans="1:4" x14ac:dyDescent="0.25">
      <c r="A18" s="2">
        <v>30</v>
      </c>
      <c r="B18" s="2">
        <v>25</v>
      </c>
      <c r="C18" s="2">
        <v>2.5587671232876699</v>
      </c>
      <c r="D18" s="2">
        <v>11.222444889779499</v>
      </c>
    </row>
    <row r="19" spans="1:4" x14ac:dyDescent="0.25">
      <c r="A19" s="2">
        <v>30</v>
      </c>
      <c r="B19" s="2">
        <v>25</v>
      </c>
      <c r="C19" s="2">
        <v>2.7067123287671202</v>
      </c>
      <c r="D19" s="2">
        <v>23.0460921843687</v>
      </c>
    </row>
    <row r="20" spans="1:4" x14ac:dyDescent="0.25">
      <c r="A20" s="2">
        <v>30</v>
      </c>
      <c r="B20" s="2">
        <v>25</v>
      </c>
      <c r="C20" s="2">
        <v>2.8558904109588998</v>
      </c>
      <c r="D20" s="2">
        <v>44.486973947895699</v>
      </c>
    </row>
    <row r="21" spans="1:4" x14ac:dyDescent="0.25">
      <c r="A21" s="2">
        <v>30</v>
      </c>
      <c r="B21" s="2">
        <v>25</v>
      </c>
      <c r="C21" s="2">
        <v>3.08643835616438</v>
      </c>
      <c r="D21" s="2">
        <v>87.575150300601194</v>
      </c>
    </row>
    <row r="22" spans="1:4" x14ac:dyDescent="0.25">
      <c r="A22" s="2">
        <v>30</v>
      </c>
      <c r="B22" s="2">
        <v>25</v>
      </c>
      <c r="C22" s="2">
        <v>3.2171232876712299</v>
      </c>
      <c r="D22" s="2">
        <v>99.198396793587094</v>
      </c>
    </row>
    <row r="23" spans="1:4" x14ac:dyDescent="0.25">
      <c r="A23" s="2">
        <v>15</v>
      </c>
      <c r="B23" s="2">
        <v>25</v>
      </c>
      <c r="C23" s="2">
        <v>2.3910958904109498</v>
      </c>
      <c r="D23" s="2">
        <v>6.4128256513026001</v>
      </c>
    </row>
    <row r="24" spans="1:4" x14ac:dyDescent="0.25">
      <c r="A24" s="2">
        <v>15</v>
      </c>
      <c r="B24" s="2">
        <v>25</v>
      </c>
      <c r="C24" s="2">
        <v>2.6771232876712299</v>
      </c>
      <c r="D24" s="2">
        <v>21.643286573146199</v>
      </c>
    </row>
    <row r="25" spans="1:4" x14ac:dyDescent="0.25">
      <c r="A25" s="2">
        <v>15</v>
      </c>
      <c r="B25" s="2">
        <v>25</v>
      </c>
      <c r="C25" s="2">
        <v>2.8275342465753401</v>
      </c>
      <c r="D25" s="2">
        <v>34.869739478957896</v>
      </c>
    </row>
    <row r="26" spans="1:4" x14ac:dyDescent="0.25">
      <c r="A26" s="2">
        <v>15</v>
      </c>
      <c r="B26" s="2">
        <v>25</v>
      </c>
      <c r="C26" s="2">
        <v>2.9705479452054702</v>
      </c>
      <c r="D26" s="2">
        <v>50.300601202404799</v>
      </c>
    </row>
    <row r="27" spans="1:4" x14ac:dyDescent="0.25">
      <c r="A27" s="2">
        <v>15</v>
      </c>
      <c r="B27" s="2">
        <v>25</v>
      </c>
      <c r="C27" s="2">
        <v>3.14684931506849</v>
      </c>
      <c r="D27" s="2">
        <v>85.571142284569106</v>
      </c>
    </row>
    <row r="28" spans="1:4" x14ac:dyDescent="0.25">
      <c r="A28" s="2">
        <v>80</v>
      </c>
      <c r="B28" s="2">
        <v>25</v>
      </c>
      <c r="C28" s="2">
        <v>2.46702940944667</v>
      </c>
      <c r="D28" s="2">
        <v>8.2206732608056399</v>
      </c>
    </row>
    <row r="29" spans="1:4" x14ac:dyDescent="0.25">
      <c r="A29" s="2">
        <v>80</v>
      </c>
      <c r="B29" s="2">
        <v>25</v>
      </c>
      <c r="C29" s="2">
        <v>2.5500803288328902</v>
      </c>
      <c r="D29" s="2">
        <v>10.9370782375305</v>
      </c>
    </row>
    <row r="30" spans="1:4" x14ac:dyDescent="0.25">
      <c r="A30" s="2">
        <v>80</v>
      </c>
      <c r="B30" s="2">
        <v>25</v>
      </c>
      <c r="C30" s="2">
        <v>2.6934445609801898</v>
      </c>
      <c r="D30" s="2">
        <v>21.386041143716099</v>
      </c>
    </row>
    <row r="31" spans="1:4" x14ac:dyDescent="0.25">
      <c r="A31" s="2">
        <v>80</v>
      </c>
      <c r="B31" s="2">
        <v>25</v>
      </c>
      <c r="C31" s="2">
        <v>2.8496462500075701</v>
      </c>
      <c r="D31" s="2">
        <v>39.657124682122301</v>
      </c>
    </row>
    <row r="32" spans="1:4" x14ac:dyDescent="0.25">
      <c r="A32" s="2">
        <v>80</v>
      </c>
      <c r="B32" s="2">
        <v>25</v>
      </c>
      <c r="C32" s="2">
        <v>3.0282945430956598</v>
      </c>
      <c r="D32" s="2">
        <v>76.978762285167505</v>
      </c>
    </row>
    <row r="33" spans="1:4" x14ac:dyDescent="0.25">
      <c r="A33" s="2">
        <v>80</v>
      </c>
      <c r="B33" s="2">
        <v>25</v>
      </c>
      <c r="C33" s="2">
        <v>3.1887309256912801</v>
      </c>
      <c r="D33" s="2">
        <v>114.06158652741399</v>
      </c>
    </row>
    <row r="34" spans="1:4" x14ac:dyDescent="0.25">
      <c r="A34" s="2">
        <v>80</v>
      </c>
      <c r="B34" s="2">
        <v>45</v>
      </c>
      <c r="C34" s="2">
        <v>2.3785282545302402</v>
      </c>
      <c r="D34" s="2">
        <v>8.4944305352248808</v>
      </c>
    </row>
    <row r="35" spans="1:4" x14ac:dyDescent="0.25">
      <c r="A35" s="2">
        <v>80</v>
      </c>
      <c r="B35" s="2">
        <v>45</v>
      </c>
      <c r="C35" s="2">
        <v>2.6574329936282499</v>
      </c>
      <c r="D35" s="2">
        <v>51.6556400140352</v>
      </c>
    </row>
    <row r="36" spans="1:4" x14ac:dyDescent="0.25">
      <c r="A36" s="2">
        <v>80</v>
      </c>
      <c r="B36" s="2">
        <v>45</v>
      </c>
      <c r="C36" s="2">
        <v>2.8849666862689198</v>
      </c>
      <c r="D36" s="2">
        <v>131.29976592975501</v>
      </c>
    </row>
    <row r="37" spans="1:4" x14ac:dyDescent="0.25">
      <c r="A37" s="2">
        <v>80</v>
      </c>
      <c r="B37" s="2">
        <v>45</v>
      </c>
      <c r="C37" s="2">
        <v>3.1685183725681498</v>
      </c>
      <c r="D37" s="2">
        <v>156.960032616201</v>
      </c>
    </row>
    <row r="38" spans="1:4" x14ac:dyDescent="0.25">
      <c r="A38" s="2">
        <v>80</v>
      </c>
      <c r="B38" s="2">
        <v>45</v>
      </c>
      <c r="C38" s="2">
        <v>3.3540961642224398</v>
      </c>
      <c r="D38" s="2">
        <v>174.39643154406201</v>
      </c>
    </row>
    <row r="39" spans="1:4" x14ac:dyDescent="0.25">
      <c r="A39" s="2">
        <v>80</v>
      </c>
      <c r="B39" s="2">
        <v>60</v>
      </c>
      <c r="C39" s="2">
        <v>2.3795679824428402</v>
      </c>
      <c r="D39" s="2">
        <v>12.4704282275389</v>
      </c>
    </row>
    <row r="40" spans="1:4" x14ac:dyDescent="0.25">
      <c r="A40" s="2">
        <v>80</v>
      </c>
      <c r="B40" s="2">
        <v>60</v>
      </c>
      <c r="C40" s="2">
        <v>2.6465022098007198</v>
      </c>
      <c r="D40" s="2">
        <v>55.383870816413598</v>
      </c>
    </row>
    <row r="41" spans="1:4" x14ac:dyDescent="0.25">
      <c r="A41" s="2">
        <v>80</v>
      </c>
      <c r="B41" s="2">
        <v>60</v>
      </c>
      <c r="C41" s="2">
        <v>2.8684795722262302</v>
      </c>
      <c r="D41" s="2">
        <v>154.18632672480601</v>
      </c>
    </row>
    <row r="42" spans="1:4" x14ac:dyDescent="0.25">
      <c r="A42" s="2">
        <v>80</v>
      </c>
      <c r="B42" s="2">
        <v>60</v>
      </c>
      <c r="C42" s="2">
        <v>3.07609777686165</v>
      </c>
      <c r="D42" s="2">
        <v>205.84210230348401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7760-811B-4068-8D2C-41FFEFEAFE22}">
  <dimension ref="A1:G45"/>
  <sheetViews>
    <sheetView workbookViewId="0">
      <selection activeCell="D49" sqref="D49"/>
    </sheetView>
  </sheetViews>
  <sheetFormatPr defaultRowHeight="15" x14ac:dyDescent="0.25"/>
  <sheetData>
    <row r="1" spans="1:7" x14ac:dyDescent="0.25">
      <c r="A1" t="s">
        <v>33</v>
      </c>
      <c r="B1" t="s">
        <v>34</v>
      </c>
      <c r="C1" t="s">
        <v>35</v>
      </c>
      <c r="D1" t="s">
        <v>7</v>
      </c>
    </row>
    <row r="2" spans="1:7" x14ac:dyDescent="0.25">
      <c r="A2">
        <v>160</v>
      </c>
      <c r="B2">
        <v>25</v>
      </c>
      <c r="C2">
        <v>2.3807775377969702</v>
      </c>
      <c r="D2">
        <v>0.56627754606458824</v>
      </c>
      <c r="F2">
        <v>2.38493150684931</v>
      </c>
      <c r="G2">
        <v>68.792248366870126</v>
      </c>
    </row>
    <row r="3" spans="1:7" x14ac:dyDescent="0.25">
      <c r="A3">
        <v>160</v>
      </c>
      <c r="B3">
        <v>25</v>
      </c>
      <c r="C3">
        <v>2.6684665226781799</v>
      </c>
      <c r="D3">
        <v>0.7231706171535015</v>
      </c>
      <c r="F3">
        <v>2.6684931506849301</v>
      </c>
      <c r="G3">
        <v>95.227869027229005</v>
      </c>
    </row>
    <row r="4" spans="1:7" x14ac:dyDescent="0.25">
      <c r="A4">
        <v>160</v>
      </c>
      <c r="B4">
        <v>25</v>
      </c>
      <c r="C4">
        <v>2.9503239740820701</v>
      </c>
      <c r="D4">
        <v>0.84732887544868463</v>
      </c>
      <c r="F4">
        <v>2.95821917808219</v>
      </c>
      <c r="G4">
        <v>85.834869845202505</v>
      </c>
    </row>
    <row r="5" spans="1:7" x14ac:dyDescent="0.25">
      <c r="A5">
        <v>160</v>
      </c>
      <c r="B5">
        <v>25</v>
      </c>
      <c r="C5">
        <v>3.1699784017278598</v>
      </c>
      <c r="D5">
        <v>0.8858441928248374</v>
      </c>
      <c r="F5">
        <v>3.1678082191780801</v>
      </c>
      <c r="G5">
        <v>74.436054757622699</v>
      </c>
    </row>
    <row r="6" spans="1:7" x14ac:dyDescent="0.25">
      <c r="A6">
        <v>160</v>
      </c>
      <c r="B6">
        <v>25</v>
      </c>
      <c r="C6">
        <v>3.4187904967602498</v>
      </c>
      <c r="D6">
        <v>0.87257274099260362</v>
      </c>
      <c r="F6">
        <v>2.3910958904109498</v>
      </c>
      <c r="G6">
        <v>76.458726328786597</v>
      </c>
    </row>
    <row r="7" spans="1:7" x14ac:dyDescent="0.25">
      <c r="A7">
        <v>160</v>
      </c>
      <c r="B7">
        <v>25</v>
      </c>
      <c r="C7">
        <v>3.64816414686825</v>
      </c>
      <c r="D7">
        <v>0.66408219468463114</v>
      </c>
      <c r="F7">
        <v>2.6808219178082102</v>
      </c>
      <c r="G7">
        <v>89.937900429376697</v>
      </c>
    </row>
    <row r="8" spans="1:7" x14ac:dyDescent="0.25">
      <c r="A8">
        <v>160</v>
      </c>
      <c r="B8">
        <v>25</v>
      </c>
      <c r="C8">
        <v>3.8386609071274198</v>
      </c>
      <c r="D8">
        <v>0.53885096729893167</v>
      </c>
      <c r="F8">
        <v>2.95821917808219</v>
      </c>
      <c r="G8">
        <v>91.006472557305202</v>
      </c>
    </row>
    <row r="9" spans="1:7" x14ac:dyDescent="0.25">
      <c r="A9">
        <v>120</v>
      </c>
      <c r="B9">
        <v>25</v>
      </c>
      <c r="C9">
        <v>2.38660907127429</v>
      </c>
      <c r="D9">
        <v>0.62986774732895556</v>
      </c>
      <c r="F9">
        <v>3.2084931506849301</v>
      </c>
      <c r="G9">
        <v>74.508223059507202</v>
      </c>
    </row>
    <row r="10" spans="1:7" x14ac:dyDescent="0.25">
      <c r="A10">
        <v>120</v>
      </c>
      <c r="B10">
        <v>25</v>
      </c>
      <c r="C10">
        <v>2.6820734341252699</v>
      </c>
      <c r="D10">
        <v>0.73237560144245673</v>
      </c>
      <c r="F10">
        <v>2.46876712328767</v>
      </c>
      <c r="G10">
        <v>64.042460128640897</v>
      </c>
    </row>
    <row r="11" spans="1:7" x14ac:dyDescent="0.25">
      <c r="A11">
        <v>120</v>
      </c>
      <c r="B11">
        <v>25</v>
      </c>
      <c r="C11">
        <v>2.9619870410367102</v>
      </c>
      <c r="D11">
        <v>0.90312248619567448</v>
      </c>
      <c r="F11">
        <v>2.5501369863013599</v>
      </c>
      <c r="G11">
        <v>72.202214107961296</v>
      </c>
    </row>
    <row r="12" spans="1:7" x14ac:dyDescent="0.25">
      <c r="A12">
        <v>120</v>
      </c>
      <c r="B12">
        <v>25</v>
      </c>
      <c r="C12">
        <v>3.2146868250539899</v>
      </c>
      <c r="D12">
        <v>0.89610840639369338</v>
      </c>
      <c r="F12">
        <v>2.69808219178082</v>
      </c>
      <c r="G12">
        <v>83.417984261853803</v>
      </c>
    </row>
    <row r="13" spans="1:7" x14ac:dyDescent="0.25">
      <c r="A13">
        <v>120</v>
      </c>
      <c r="B13">
        <v>25</v>
      </c>
      <c r="C13">
        <v>3.4596112311015101</v>
      </c>
      <c r="D13">
        <v>0.74163181570220205</v>
      </c>
      <c r="F13">
        <v>2.8521917808219102</v>
      </c>
      <c r="G13">
        <v>87.533420874816798</v>
      </c>
    </row>
    <row r="14" spans="1:7" x14ac:dyDescent="0.25">
      <c r="A14">
        <v>120</v>
      </c>
      <c r="B14">
        <v>25</v>
      </c>
      <c r="C14">
        <v>3.7084233261339001</v>
      </c>
      <c r="D14">
        <v>0.52893524448761109</v>
      </c>
      <c r="F14">
        <v>3.0321917808219099</v>
      </c>
      <c r="G14">
        <v>84.289941563696203</v>
      </c>
    </row>
    <row r="15" spans="1:7" x14ac:dyDescent="0.25">
      <c r="A15">
        <v>80</v>
      </c>
      <c r="B15">
        <v>25</v>
      </c>
      <c r="C15">
        <v>2.47213822894168</v>
      </c>
      <c r="D15">
        <v>0.81225591900101213</v>
      </c>
      <c r="F15">
        <v>3.18753424657534</v>
      </c>
      <c r="G15">
        <v>76.112824887145607</v>
      </c>
    </row>
    <row r="16" spans="1:7" x14ac:dyDescent="0.25">
      <c r="A16">
        <v>80</v>
      </c>
      <c r="B16">
        <v>25</v>
      </c>
      <c r="C16">
        <v>2.5498920086393002</v>
      </c>
      <c r="D16">
        <v>0.85490177654034682</v>
      </c>
      <c r="F16">
        <v>2.28136986301369</v>
      </c>
      <c r="G16">
        <v>61.666107831374703</v>
      </c>
    </row>
    <row r="17" spans="1:7" x14ac:dyDescent="0.25">
      <c r="A17">
        <v>80</v>
      </c>
      <c r="B17">
        <v>25</v>
      </c>
      <c r="C17">
        <v>2.70539956803455</v>
      </c>
      <c r="D17">
        <v>0.8988243910211684</v>
      </c>
      <c r="F17">
        <v>2.4564383561643801</v>
      </c>
      <c r="G17">
        <v>71.106521648932599</v>
      </c>
    </row>
    <row r="18" spans="1:7" x14ac:dyDescent="0.25">
      <c r="A18">
        <v>80</v>
      </c>
      <c r="B18">
        <v>25</v>
      </c>
      <c r="C18">
        <v>2.8570194384449201</v>
      </c>
      <c r="D18">
        <v>0.88910197477391817</v>
      </c>
      <c r="F18">
        <v>2.5587671232876699</v>
      </c>
      <c r="G18">
        <v>84.118867097040294</v>
      </c>
    </row>
    <row r="19" spans="1:7" x14ac:dyDescent="0.25">
      <c r="A19">
        <v>80</v>
      </c>
      <c r="B19">
        <v>25</v>
      </c>
      <c r="C19">
        <v>3.0319654427645699</v>
      </c>
      <c r="D19">
        <v>0.84755987715537517</v>
      </c>
      <c r="F19">
        <v>2.7067123287671202</v>
      </c>
      <c r="G19">
        <v>82.8327153259429</v>
      </c>
    </row>
    <row r="20" spans="1:7" x14ac:dyDescent="0.25">
      <c r="A20">
        <v>80</v>
      </c>
      <c r="B20">
        <v>25</v>
      </c>
      <c r="C20">
        <v>3.1952483801295801</v>
      </c>
      <c r="D20">
        <v>0.76461075742168561</v>
      </c>
      <c r="F20">
        <v>2.8558904109588998</v>
      </c>
      <c r="G20">
        <v>80.248057769104705</v>
      </c>
    </row>
    <row r="21" spans="1:7" x14ac:dyDescent="0.25">
      <c r="A21">
        <v>80</v>
      </c>
      <c r="B21">
        <v>25</v>
      </c>
      <c r="C21">
        <v>3.3838012958963199</v>
      </c>
      <c r="D21">
        <v>0.7038063000826138</v>
      </c>
      <c r="F21">
        <v>3.08643835616438</v>
      </c>
      <c r="G21">
        <v>67.081157117608399</v>
      </c>
    </row>
    <row r="22" spans="1:7" x14ac:dyDescent="0.25">
      <c r="A22">
        <v>80</v>
      </c>
      <c r="B22">
        <v>25</v>
      </c>
      <c r="C22">
        <v>3.6112311015118701</v>
      </c>
      <c r="D22">
        <v>0.5105044102870262</v>
      </c>
      <c r="F22">
        <v>3.2171232876712299</v>
      </c>
      <c r="G22">
        <v>62.619315465514099</v>
      </c>
    </row>
    <row r="23" spans="1:7" x14ac:dyDescent="0.25">
      <c r="A23">
        <v>30</v>
      </c>
      <c r="B23">
        <v>25</v>
      </c>
      <c r="C23">
        <v>2.2796976241900602</v>
      </c>
      <c r="D23">
        <v>0.39272284968191573</v>
      </c>
      <c r="F23">
        <v>2.3910958904109498</v>
      </c>
      <c r="G23">
        <v>52.391402307137596</v>
      </c>
    </row>
    <row r="24" spans="1:7" x14ac:dyDescent="0.25">
      <c r="A24">
        <v>30</v>
      </c>
      <c r="B24">
        <v>25</v>
      </c>
      <c r="C24">
        <v>2.4468682505399499</v>
      </c>
      <c r="D24">
        <v>0.73397029194387842</v>
      </c>
      <c r="F24">
        <v>2.6771232876712299</v>
      </c>
      <c r="G24">
        <v>57.634008057409901</v>
      </c>
    </row>
    <row r="25" spans="1:7" x14ac:dyDescent="0.25">
      <c r="A25">
        <v>30</v>
      </c>
      <c r="B25">
        <v>25</v>
      </c>
      <c r="C25">
        <v>2.5596112311015098</v>
      </c>
      <c r="D25">
        <v>0.78115524592562124</v>
      </c>
      <c r="F25">
        <v>2.8275342465753401</v>
      </c>
      <c r="G25">
        <v>72.208643800062006</v>
      </c>
    </row>
    <row r="26" spans="1:7" x14ac:dyDescent="0.25">
      <c r="A26">
        <v>30</v>
      </c>
      <c r="B26">
        <v>25</v>
      </c>
      <c r="C26">
        <v>2.70539956803455</v>
      </c>
      <c r="D26">
        <v>0.79068996735105923</v>
      </c>
      <c r="F26">
        <v>2.9705479452054702</v>
      </c>
      <c r="G26">
        <v>63.166997567790801</v>
      </c>
    </row>
    <row r="27" spans="1:7" x14ac:dyDescent="0.25">
      <c r="A27">
        <v>30</v>
      </c>
      <c r="B27">
        <v>25</v>
      </c>
      <c r="C27">
        <v>2.8570194384449201</v>
      </c>
      <c r="D27">
        <v>0.80276749337575726</v>
      </c>
      <c r="F27">
        <v>3.14684931506849</v>
      </c>
      <c r="G27">
        <v>37.290492844688899</v>
      </c>
    </row>
    <row r="28" spans="1:7" x14ac:dyDescent="0.25">
      <c r="A28">
        <v>30</v>
      </c>
      <c r="B28">
        <v>25</v>
      </c>
      <c r="C28">
        <v>3.0902807775377901</v>
      </c>
      <c r="D28">
        <v>0.66708904972567706</v>
      </c>
      <c r="F28">
        <v>2.46702940944667</v>
      </c>
      <c r="G28">
        <v>64.042460128640897</v>
      </c>
    </row>
    <row r="29" spans="1:7" x14ac:dyDescent="0.25">
      <c r="A29">
        <v>30</v>
      </c>
      <c r="B29">
        <v>25</v>
      </c>
      <c r="C29">
        <v>3.2166306695464302</v>
      </c>
      <c r="D29">
        <v>0.62501733263603354</v>
      </c>
      <c r="F29">
        <v>2.5500803288328902</v>
      </c>
      <c r="G29">
        <v>72.202214107961296</v>
      </c>
    </row>
    <row r="30" spans="1:7" x14ac:dyDescent="0.25">
      <c r="A30">
        <v>30</v>
      </c>
      <c r="B30">
        <v>25</v>
      </c>
      <c r="C30">
        <v>3.4751619870410302</v>
      </c>
      <c r="D30">
        <v>0.31042171427301268</v>
      </c>
      <c r="F30">
        <v>2.6934445609801898</v>
      </c>
      <c r="G30">
        <v>83.417984261853803</v>
      </c>
    </row>
    <row r="31" spans="1:7" x14ac:dyDescent="0.25">
      <c r="A31">
        <v>15</v>
      </c>
      <c r="B31">
        <v>25</v>
      </c>
      <c r="C31">
        <v>2.39049676025917</v>
      </c>
      <c r="D31">
        <v>0.37017401989556414</v>
      </c>
      <c r="F31">
        <v>2.8496462500075701</v>
      </c>
      <c r="G31">
        <v>87.533420874816798</v>
      </c>
    </row>
    <row r="32" spans="1:7" x14ac:dyDescent="0.25">
      <c r="A32">
        <v>15</v>
      </c>
      <c r="B32">
        <v>25</v>
      </c>
      <c r="C32">
        <v>2.6820734341252699</v>
      </c>
      <c r="D32">
        <v>0.56903591778036888</v>
      </c>
      <c r="F32">
        <v>3.0282945430956598</v>
      </c>
      <c r="G32">
        <v>84.289941563696203</v>
      </c>
    </row>
    <row r="33" spans="1:7" x14ac:dyDescent="0.25">
      <c r="A33">
        <v>15</v>
      </c>
      <c r="B33">
        <v>25</v>
      </c>
      <c r="C33">
        <v>2.8336933045356298</v>
      </c>
      <c r="D33">
        <v>0.7015962387042618</v>
      </c>
      <c r="F33">
        <v>3.1887309256912801</v>
      </c>
      <c r="G33">
        <v>76.112824887145607</v>
      </c>
    </row>
    <row r="34" spans="1:7" x14ac:dyDescent="0.25">
      <c r="A34">
        <v>15</v>
      </c>
      <c r="B34">
        <v>25</v>
      </c>
      <c r="C34">
        <v>2.97170626349891</v>
      </c>
      <c r="D34">
        <v>0.63793967309125077</v>
      </c>
      <c r="F34">
        <v>2.3785282545302402</v>
      </c>
      <c r="G34">
        <v>70.666729306386216</v>
      </c>
    </row>
    <row r="35" spans="1:7" x14ac:dyDescent="0.25">
      <c r="A35">
        <v>15</v>
      </c>
      <c r="B35">
        <v>25</v>
      </c>
      <c r="C35">
        <v>3.15053995680345</v>
      </c>
      <c r="D35">
        <v>0.36469460544692223</v>
      </c>
      <c r="F35">
        <v>2.6574329936282499</v>
      </c>
      <c r="G35">
        <v>82.380955344654666</v>
      </c>
    </row>
    <row r="36" spans="1:7" x14ac:dyDescent="0.25">
      <c r="A36">
        <v>80</v>
      </c>
      <c r="B36">
        <v>60</v>
      </c>
      <c r="C36">
        <v>2.46702940944667</v>
      </c>
      <c r="D36">
        <v>0.64042460128640899</v>
      </c>
      <c r="F36">
        <v>2.8849666862689198</v>
      </c>
      <c r="G36">
        <v>90.907886475493854</v>
      </c>
    </row>
    <row r="37" spans="1:7" x14ac:dyDescent="0.25">
      <c r="A37">
        <v>80</v>
      </c>
      <c r="B37">
        <v>60</v>
      </c>
      <c r="C37">
        <v>2.5500803288328902</v>
      </c>
      <c r="D37">
        <v>0.72202214107961293</v>
      </c>
      <c r="F37">
        <v>3.1685183725681498</v>
      </c>
      <c r="G37">
        <v>86.32905365810366</v>
      </c>
    </row>
    <row r="38" spans="1:7" x14ac:dyDescent="0.25">
      <c r="A38">
        <v>80</v>
      </c>
      <c r="B38">
        <v>60</v>
      </c>
      <c r="C38">
        <v>2.6934445609801898</v>
      </c>
      <c r="D38">
        <v>0.83417984261853806</v>
      </c>
      <c r="F38">
        <v>3.3540961642224398</v>
      </c>
      <c r="G38">
        <v>78.892212941591552</v>
      </c>
    </row>
    <row r="39" spans="1:7" x14ac:dyDescent="0.25">
      <c r="A39">
        <v>80</v>
      </c>
      <c r="B39">
        <v>60</v>
      </c>
      <c r="C39">
        <v>2.8496462500075701</v>
      </c>
      <c r="D39">
        <v>0.87533420874816803</v>
      </c>
      <c r="F39">
        <v>2.3795679824428402</v>
      </c>
      <c r="G39">
        <v>67.6586466083603</v>
      </c>
    </row>
    <row r="40" spans="1:7" x14ac:dyDescent="0.25">
      <c r="A40">
        <v>80</v>
      </c>
      <c r="B40">
        <v>60</v>
      </c>
      <c r="C40">
        <v>3.0282945430956598</v>
      </c>
      <c r="D40">
        <v>0.84289941563696202</v>
      </c>
      <c r="F40">
        <v>2.6465022098007198</v>
      </c>
      <c r="G40">
        <v>92.386603800462481</v>
      </c>
    </row>
    <row r="41" spans="1:7" x14ac:dyDescent="0.25">
      <c r="A41">
        <v>80</v>
      </c>
      <c r="B41">
        <v>45</v>
      </c>
      <c r="C41">
        <v>3.1887309256912801</v>
      </c>
      <c r="D41">
        <v>0.76112824887145614</v>
      </c>
      <c r="F41">
        <v>2.8684795722262302</v>
      </c>
      <c r="G41">
        <v>89.436665759910071</v>
      </c>
    </row>
    <row r="42" spans="1:7" x14ac:dyDescent="0.25">
      <c r="A42">
        <v>80</v>
      </c>
      <c r="B42">
        <v>45</v>
      </c>
      <c r="C42">
        <v>2.3785282545302402</v>
      </c>
      <c r="D42">
        <v>0.70666729306386222</v>
      </c>
      <c r="F42">
        <v>3.07609777686165</v>
      </c>
      <c r="G42">
        <v>86.655968707190283</v>
      </c>
    </row>
    <row r="43" spans="1:7" x14ac:dyDescent="0.25">
      <c r="A43">
        <v>80</v>
      </c>
      <c r="B43">
        <v>45</v>
      </c>
      <c r="C43">
        <v>2.6574329936282499</v>
      </c>
      <c r="D43">
        <v>0.82380955344654672</v>
      </c>
    </row>
    <row r="44" spans="1:7" x14ac:dyDescent="0.25">
      <c r="A44">
        <v>80</v>
      </c>
      <c r="B44">
        <v>45</v>
      </c>
      <c r="C44">
        <v>2.8849666862689198</v>
      </c>
      <c r="D44">
        <v>0.9090788647549386</v>
      </c>
    </row>
    <row r="45" spans="1:7" x14ac:dyDescent="0.25">
      <c r="A45">
        <v>80</v>
      </c>
      <c r="B45">
        <v>45</v>
      </c>
      <c r="C45">
        <v>3.1685183725681498</v>
      </c>
      <c r="D45">
        <v>0.8632905365810366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D4DA-E4A1-4699-874C-285AC562005C}">
  <dimension ref="A1:D42"/>
  <sheetViews>
    <sheetView workbookViewId="0">
      <selection activeCell="K9" sqref="K9"/>
    </sheetView>
  </sheetViews>
  <sheetFormatPr defaultRowHeight="15" x14ac:dyDescent="0.25"/>
  <cols>
    <col min="1" max="2" width="10.42578125" style="3" customWidth="1"/>
    <col min="3" max="3" width="9.42578125" style="3" customWidth="1"/>
    <col min="4" max="4" width="12.85546875" style="3" customWidth="1"/>
    <col min="5" max="16384" width="9.140625" style="3"/>
  </cols>
  <sheetData>
    <row r="1" spans="1:4" x14ac:dyDescent="0.25">
      <c r="A1" s="3" t="s">
        <v>33</v>
      </c>
      <c r="B1" s="3" t="s">
        <v>34</v>
      </c>
      <c r="C1" s="3" t="s">
        <v>35</v>
      </c>
      <c r="D1" s="3" t="s">
        <v>7</v>
      </c>
    </row>
    <row r="2" spans="1:4" x14ac:dyDescent="0.25">
      <c r="A2" s="3">
        <v>160</v>
      </c>
      <c r="B2" s="3">
        <v>25</v>
      </c>
      <c r="C2" s="3">
        <v>2.38493150684931</v>
      </c>
      <c r="D2" s="3">
        <v>68.792248366870126</v>
      </c>
    </row>
    <row r="3" spans="1:4" x14ac:dyDescent="0.25">
      <c r="A3" s="3">
        <v>160</v>
      </c>
      <c r="B3" s="3">
        <v>25</v>
      </c>
      <c r="C3" s="3">
        <v>2.6684931506849301</v>
      </c>
      <c r="D3" s="3">
        <v>95.227869027229005</v>
      </c>
    </row>
    <row r="4" spans="1:4" x14ac:dyDescent="0.25">
      <c r="A4" s="3">
        <v>160</v>
      </c>
      <c r="B4" s="3">
        <v>25</v>
      </c>
      <c r="C4" s="3">
        <v>2.95821917808219</v>
      </c>
      <c r="D4" s="3">
        <v>85.834869845202505</v>
      </c>
    </row>
    <row r="5" spans="1:4" x14ac:dyDescent="0.25">
      <c r="A5" s="3">
        <v>160</v>
      </c>
      <c r="B5" s="3">
        <v>25</v>
      </c>
      <c r="C5" s="3">
        <v>3.1678082191780801</v>
      </c>
      <c r="D5" s="3">
        <v>74.436054757622699</v>
      </c>
    </row>
    <row r="6" spans="1:4" x14ac:dyDescent="0.25">
      <c r="A6" s="3">
        <v>120</v>
      </c>
      <c r="B6" s="3">
        <v>25</v>
      </c>
      <c r="C6" s="3">
        <v>2.3910958904109498</v>
      </c>
      <c r="D6" s="3">
        <v>76.458726328786597</v>
      </c>
    </row>
    <row r="7" spans="1:4" x14ac:dyDescent="0.25">
      <c r="A7" s="3">
        <v>120</v>
      </c>
      <c r="B7" s="3">
        <v>25</v>
      </c>
      <c r="C7" s="3">
        <v>2.6808219178082102</v>
      </c>
      <c r="D7" s="3">
        <v>89.937900429376697</v>
      </c>
    </row>
    <row r="8" spans="1:4" x14ac:dyDescent="0.25">
      <c r="A8" s="3">
        <v>120</v>
      </c>
      <c r="B8" s="3">
        <v>25</v>
      </c>
      <c r="C8" s="3">
        <v>2.95821917808219</v>
      </c>
      <c r="D8" s="3">
        <v>91.006472557305202</v>
      </c>
    </row>
    <row r="9" spans="1:4" x14ac:dyDescent="0.25">
      <c r="A9" s="3">
        <v>120</v>
      </c>
      <c r="B9" s="3">
        <v>25</v>
      </c>
      <c r="C9" s="3">
        <v>3.2084931506849301</v>
      </c>
      <c r="D9" s="3">
        <v>74.508223059507202</v>
      </c>
    </row>
    <row r="10" spans="1:4" x14ac:dyDescent="0.25">
      <c r="A10" s="3">
        <v>80</v>
      </c>
      <c r="B10" s="3">
        <v>25</v>
      </c>
      <c r="C10" s="3">
        <v>2.46876712328767</v>
      </c>
      <c r="D10" s="3">
        <v>64.042460128640897</v>
      </c>
    </row>
    <row r="11" spans="1:4" x14ac:dyDescent="0.25">
      <c r="A11" s="3">
        <v>80</v>
      </c>
      <c r="B11" s="3">
        <v>25</v>
      </c>
      <c r="C11" s="3">
        <v>2.5501369863013599</v>
      </c>
      <c r="D11" s="3">
        <v>72.202214107961296</v>
      </c>
    </row>
    <row r="12" spans="1:4" x14ac:dyDescent="0.25">
      <c r="A12" s="3">
        <v>80</v>
      </c>
      <c r="B12" s="3">
        <v>25</v>
      </c>
      <c r="C12" s="3">
        <v>2.69808219178082</v>
      </c>
      <c r="D12" s="3">
        <v>83.417984261853803</v>
      </c>
    </row>
    <row r="13" spans="1:4" x14ac:dyDescent="0.25">
      <c r="A13" s="3">
        <v>80</v>
      </c>
      <c r="B13" s="3">
        <v>25</v>
      </c>
      <c r="C13" s="3">
        <v>2.8521917808219102</v>
      </c>
      <c r="D13" s="3">
        <v>87.533420874816798</v>
      </c>
    </row>
    <row r="14" spans="1:4" x14ac:dyDescent="0.25">
      <c r="A14" s="3">
        <v>80</v>
      </c>
      <c r="B14" s="3">
        <v>25</v>
      </c>
      <c r="C14" s="3">
        <v>3.0321917808219099</v>
      </c>
      <c r="D14" s="3">
        <v>84.289941563696203</v>
      </c>
    </row>
    <row r="15" spans="1:4" x14ac:dyDescent="0.25">
      <c r="A15" s="3">
        <v>80</v>
      </c>
      <c r="B15" s="3">
        <v>25</v>
      </c>
      <c r="C15" s="3">
        <v>3.18753424657534</v>
      </c>
      <c r="D15" s="3">
        <v>76.112824887145621</v>
      </c>
    </row>
    <row r="16" spans="1:4" x14ac:dyDescent="0.25">
      <c r="A16" s="3">
        <v>30</v>
      </c>
      <c r="B16" s="3">
        <v>25</v>
      </c>
      <c r="C16" s="3">
        <v>2.28136986301369</v>
      </c>
      <c r="D16" s="3">
        <v>61.666107831374703</v>
      </c>
    </row>
    <row r="17" spans="1:4" x14ac:dyDescent="0.25">
      <c r="A17" s="3">
        <v>30</v>
      </c>
      <c r="B17" s="3">
        <v>25</v>
      </c>
      <c r="C17" s="3">
        <v>2.4564383561643801</v>
      </c>
      <c r="D17" s="3">
        <v>71.106521648932599</v>
      </c>
    </row>
    <row r="18" spans="1:4" x14ac:dyDescent="0.25">
      <c r="A18" s="3">
        <v>30</v>
      </c>
      <c r="B18" s="3">
        <v>25</v>
      </c>
      <c r="C18" s="3">
        <v>2.5587671232876699</v>
      </c>
      <c r="D18" s="3">
        <v>84.118867097040294</v>
      </c>
    </row>
    <row r="19" spans="1:4" x14ac:dyDescent="0.25">
      <c r="A19" s="3">
        <v>30</v>
      </c>
      <c r="B19" s="3">
        <v>25</v>
      </c>
      <c r="C19" s="3">
        <v>2.7067123287671202</v>
      </c>
      <c r="D19" s="3">
        <v>82.8327153259429</v>
      </c>
    </row>
    <row r="20" spans="1:4" x14ac:dyDescent="0.25">
      <c r="A20" s="3">
        <v>30</v>
      </c>
      <c r="B20" s="3">
        <v>25</v>
      </c>
      <c r="C20" s="3">
        <v>2.8558904109588998</v>
      </c>
      <c r="D20" s="3">
        <v>80.248057769104705</v>
      </c>
    </row>
    <row r="21" spans="1:4" x14ac:dyDescent="0.25">
      <c r="A21" s="3">
        <v>30</v>
      </c>
      <c r="B21" s="3">
        <v>25</v>
      </c>
      <c r="C21" s="3">
        <v>3.08643835616438</v>
      </c>
      <c r="D21" s="3">
        <v>67.081157117608399</v>
      </c>
    </row>
    <row r="22" spans="1:4" x14ac:dyDescent="0.25">
      <c r="A22" s="3">
        <v>30</v>
      </c>
      <c r="B22" s="3">
        <v>25</v>
      </c>
      <c r="C22" s="3">
        <v>3.2171232876712299</v>
      </c>
      <c r="D22" s="3">
        <v>62.619315465514106</v>
      </c>
    </row>
    <row r="23" spans="1:4" x14ac:dyDescent="0.25">
      <c r="A23" s="3">
        <v>15</v>
      </c>
      <c r="B23" s="3">
        <v>25</v>
      </c>
      <c r="C23" s="3">
        <v>2.3910958904109498</v>
      </c>
      <c r="D23" s="3">
        <v>52.391402307137604</v>
      </c>
    </row>
    <row r="24" spans="1:4" x14ac:dyDescent="0.25">
      <c r="A24" s="3">
        <v>15</v>
      </c>
      <c r="B24" s="3">
        <v>25</v>
      </c>
      <c r="C24" s="3">
        <v>2.6771232876712299</v>
      </c>
      <c r="D24" s="3">
        <v>57.634008057409901</v>
      </c>
    </row>
    <row r="25" spans="1:4" x14ac:dyDescent="0.25">
      <c r="A25" s="3">
        <v>15</v>
      </c>
      <c r="B25" s="3">
        <v>25</v>
      </c>
      <c r="C25" s="3">
        <v>2.8275342465753401</v>
      </c>
      <c r="D25" s="3">
        <v>72.208643800062006</v>
      </c>
    </row>
    <row r="26" spans="1:4" x14ac:dyDescent="0.25">
      <c r="A26" s="3">
        <v>15</v>
      </c>
      <c r="B26" s="3">
        <v>25</v>
      </c>
      <c r="C26" s="3">
        <v>2.9705479452054702</v>
      </c>
      <c r="D26" s="3">
        <v>63.166997567790808</v>
      </c>
    </row>
    <row r="27" spans="1:4" x14ac:dyDescent="0.25">
      <c r="A27" s="3">
        <v>15</v>
      </c>
      <c r="B27" s="3">
        <v>25</v>
      </c>
      <c r="C27" s="3">
        <v>3.14684931506849</v>
      </c>
      <c r="D27" s="3">
        <v>37.290492844688899</v>
      </c>
    </row>
    <row r="28" spans="1:4" x14ac:dyDescent="0.25">
      <c r="A28" s="3">
        <v>80</v>
      </c>
      <c r="B28" s="3">
        <v>25</v>
      </c>
      <c r="C28" s="3">
        <v>2.46702940944667</v>
      </c>
      <c r="D28" s="3">
        <v>64.042460128640897</v>
      </c>
    </row>
    <row r="29" spans="1:4" x14ac:dyDescent="0.25">
      <c r="A29" s="3">
        <v>80</v>
      </c>
      <c r="B29" s="3">
        <v>25</v>
      </c>
      <c r="C29" s="3">
        <v>2.5500803288328902</v>
      </c>
      <c r="D29" s="3">
        <v>72.202214107961296</v>
      </c>
    </row>
    <row r="30" spans="1:4" x14ac:dyDescent="0.25">
      <c r="A30" s="3">
        <v>80</v>
      </c>
      <c r="B30" s="3">
        <v>25</v>
      </c>
      <c r="C30" s="3">
        <v>2.6934445609801898</v>
      </c>
      <c r="D30" s="3">
        <v>83.417984261853803</v>
      </c>
    </row>
    <row r="31" spans="1:4" x14ac:dyDescent="0.25">
      <c r="A31" s="3">
        <v>80</v>
      </c>
      <c r="B31" s="3">
        <v>25</v>
      </c>
      <c r="C31" s="3">
        <v>2.8496462500075701</v>
      </c>
      <c r="D31" s="3">
        <v>87.533420874816798</v>
      </c>
    </row>
    <row r="32" spans="1:4" x14ac:dyDescent="0.25">
      <c r="A32" s="3">
        <v>80</v>
      </c>
      <c r="B32" s="3">
        <v>25</v>
      </c>
      <c r="C32" s="3">
        <v>3.0282945430956598</v>
      </c>
      <c r="D32" s="3">
        <v>84.289941563696203</v>
      </c>
    </row>
    <row r="33" spans="1:4" x14ac:dyDescent="0.25">
      <c r="A33" s="3">
        <v>80</v>
      </c>
      <c r="B33" s="3">
        <v>25</v>
      </c>
      <c r="C33" s="3">
        <v>3.1887309256912801</v>
      </c>
      <c r="D33" s="3">
        <v>76.112824887145621</v>
      </c>
    </row>
    <row r="34" spans="1:4" x14ac:dyDescent="0.25">
      <c r="A34" s="3">
        <v>80</v>
      </c>
      <c r="B34" s="3">
        <v>45</v>
      </c>
      <c r="C34" s="3">
        <v>2.3785282545302402</v>
      </c>
      <c r="D34" s="3">
        <v>70.666729306386202</v>
      </c>
    </row>
    <row r="35" spans="1:4" x14ac:dyDescent="0.25">
      <c r="A35" s="3">
        <v>80</v>
      </c>
      <c r="B35" s="3">
        <v>45</v>
      </c>
      <c r="C35" s="3">
        <v>2.6574329936282499</v>
      </c>
      <c r="D35" s="3">
        <v>82.380955344654694</v>
      </c>
    </row>
    <row r="36" spans="1:4" x14ac:dyDescent="0.25">
      <c r="A36" s="3">
        <v>80</v>
      </c>
      <c r="B36" s="3">
        <v>45</v>
      </c>
      <c r="C36" s="3">
        <v>2.8849666862689198</v>
      </c>
      <c r="D36" s="3">
        <v>90.907886475493896</v>
      </c>
    </row>
    <row r="37" spans="1:4" x14ac:dyDescent="0.25">
      <c r="A37" s="3">
        <v>80</v>
      </c>
      <c r="B37" s="3">
        <v>45</v>
      </c>
      <c r="C37" s="3">
        <v>3.1685183725681498</v>
      </c>
      <c r="D37" s="3">
        <v>86.329053658103703</v>
      </c>
    </row>
    <row r="38" spans="1:4" x14ac:dyDescent="0.25">
      <c r="A38" s="3">
        <v>80</v>
      </c>
      <c r="B38" s="3">
        <v>45</v>
      </c>
      <c r="C38" s="3">
        <v>3.3540961642224398</v>
      </c>
      <c r="D38" s="3">
        <v>78.892212941591595</v>
      </c>
    </row>
    <row r="39" spans="1:4" x14ac:dyDescent="0.25">
      <c r="A39" s="3">
        <v>80</v>
      </c>
      <c r="B39" s="3">
        <v>60</v>
      </c>
      <c r="C39" s="3">
        <v>2.3795679824428402</v>
      </c>
      <c r="D39" s="3">
        <v>67.6586466083603</v>
      </c>
    </row>
    <row r="40" spans="1:4" x14ac:dyDescent="0.25">
      <c r="A40" s="3">
        <v>80</v>
      </c>
      <c r="B40" s="3">
        <v>60</v>
      </c>
      <c r="C40" s="3">
        <v>2.6465022098007198</v>
      </c>
      <c r="D40" s="3">
        <v>92.386603800462495</v>
      </c>
    </row>
    <row r="41" spans="1:4" x14ac:dyDescent="0.25">
      <c r="A41" s="3">
        <v>80</v>
      </c>
      <c r="B41" s="3">
        <v>60</v>
      </c>
      <c r="C41" s="3">
        <v>2.8684795722262302</v>
      </c>
      <c r="D41" s="3">
        <v>89.436665759910099</v>
      </c>
    </row>
    <row r="42" spans="1:4" x14ac:dyDescent="0.25">
      <c r="A42" s="3">
        <v>80</v>
      </c>
      <c r="B42" s="3">
        <v>60</v>
      </c>
      <c r="C42" s="3">
        <v>3.07609777686165</v>
      </c>
      <c r="D42" s="3">
        <v>86.655968707190297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old2</vt:lpstr>
      <vt:lpstr>base</vt:lpstr>
      <vt:lpstr>VTU_SPCE</vt:lpstr>
      <vt:lpstr>VTU_J</vt:lpstr>
      <vt:lpstr>old</vt:lpstr>
      <vt:lpstr>VTU_FE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YUANJING</dc:creator>
  <cp:lastModifiedBy>Zhao, Yuanjing (PG/R - Chemistry &amp; Chem Eng)</cp:lastModifiedBy>
  <dcterms:created xsi:type="dcterms:W3CDTF">2015-06-05T18:17:20Z</dcterms:created>
  <dcterms:modified xsi:type="dcterms:W3CDTF">2025-04-01T17:21:13Z</dcterms:modified>
</cp:coreProperties>
</file>